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2c592fa584e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y Game 計算" sheetId="1" r:id="R66370353ad354d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0.0000"/>
  </x:numFmts>
  <x:fonts count="8">
    <x:font>
      <x:sz val="11"/>
      <x:name val="Carlito"/>
    </x:font>
    <x:font>
      <x:b/>
      <x:sz val="15"/>
      <x:color rgb="FFFFFFFF"/>
      <x:name val="Carlito"/>
    </x:font>
    <x:font>
      <x:sz val="11"/>
      <x:color rgb="FF215043"/>
      <x:name val="Carlito"/>
    </x:font>
    <x:font>
      <x:b/>
      <x:sz val="11"/>
      <x:color rgb="FFFFFFFF"/>
      <x:name val="Carlito"/>
    </x:font>
    <x:font>
      <x:b/>
      <x:sz val="11"/>
      <x:color rgb="FF12362F"/>
      <x:name val="Carlito"/>
    </x:font>
    <x:font>
      <x:b/>
      <x:sz val="11"/>
      <x:name val="Carlito"/>
    </x:font>
    <x:font>
      <x:b/>
      <x:sz val="15"/>
      <x:color rgb="FFFFFFFF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43D36"/>
      </x:patternFill>
    </x:fill>
    <x:fill>
      <x:patternFill patternType="solid">
        <x:fgColor rgb="FFE8F3EC"/>
      </x:patternFill>
    </x:fill>
    <x:fill>
      <x:patternFill patternType="solid">
        <x:fgColor rgb="FF2F6F5E"/>
      </x:patternFill>
    </x:fill>
    <x:fill>
      <x:patternFill patternType="solid">
        <x:fgColor rgb="FFCFE7D5"/>
      </x:patternFill>
    </x:fill>
  </x:fills>
  <x:borders count="3">
    <x:border/>
    <x:border>
      <x:left style="thin">
        <x:color rgb="FF89A997"/>
      </x:left>
      <x:right style="thin">
        <x:color rgb="FF89A997"/>
      </x:right>
      <x:top style="thin">
        <x:color rgb="FF89A997"/>
      </x:top>
      <x:bottom style="thin">
        <x:color rgb="FF89A997"/>
      </x:bottom>
    </x:border>
    <x:border>
      <x:left style="thin">
        <x:color rgb="FFAFC8BA"/>
      </x:left>
      <x:right style="thin">
        <x:color rgb="FFAFC8BA"/>
      </x:right>
      <x:top style="thin">
        <x:color rgb="FFAFC8BA"/>
      </x:top>
      <x:bottom style="thin">
        <x:color rgb="FFAFC8B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horizontal="center" vertical="center"/>
    </x:xf>
    <x:xf numFmtId="202" fontId="0" fillId="0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ceaa2e9e3143b8" /><Relationship Type="http://schemas.openxmlformats.org/officeDocument/2006/relationships/theme" Target="/xl/theme/theme1.xml" Id="Rb8efd9e68e124b2d" /><Relationship Type="http://schemas.openxmlformats.org/officeDocument/2006/relationships/sharedStrings" Target="/xl/sharedStrings.xml" Id="R9d0bd83f553942a9" /><Relationship Type="http://schemas.openxmlformats.org/officeDocument/2006/relationships/worksheet" Target="/xl/worksheets/sheet1.xml" Id="R66370353ad354d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  <x:col min="2" max="2" width="10.380000114440918" hidden="0" customWidth="1"/>
    <x:col min="3" max="3" width="10.380000114440918" hidden="0" customWidth="1"/>
    <x:col min="4" max="4" width="10.380000114440918" hidden="0" customWidth="1"/>
    <x:col min="5" max="5" width="10.380000114440918" hidden="0" customWidth="1"/>
    <x:col min="6" max="6" width="10.380000114440918" hidden="0" customWidth="1"/>
    <x:col min="8" max="8" width="10.380000114440918" hidden="0" customWidth="1"/>
    <x:col min="9" max="9" width="28" hidden="0" customWidth="1"/>
    <x:col min="10" max="10" width="10.380000114440918" hidden="0" customWidth="1"/>
    <x:col min="11" max="11" width="10.380000114440918" hidden="0" customWidth="1"/>
    <x:col min="13" max="13" width="10.380000114440918" hidden="0" customWidth="1"/>
    <x:col min="14" max="14" width="13" hidden="0" customWidth="1"/>
    <x:col min="15" max="15" width="10.380000114440918" hidden="0" customWidth="1"/>
    <x:col min="16" max="16" width="10.380000114440918" hidden="0" customWidth="1"/>
    <x:col min="17" max="17" width="10.380000114440918" hidden="0" customWidth="1"/>
    <x:col min="18" max="18" width="10.380000114440918" hidden="0" customWidth="1"/>
    <x:col min="19" max="19" width="10.380000114440918" hidden="0" customWidth="1"/>
    <x:col min="20" max="20" width="10.380000114440918" hidden="0" customWidth="1"/>
    <x:col min="21" max="21" width="10.380000114440918" hidden="0" customWidth="1"/>
    <x:col min="22" max="22" width="13" hidden="0" customWidth="1"/>
    <x:col min="23" max="23" width="10.380000114440918" hidden="0" customWidth="1"/>
    <x:col min="24" max="24" width="10.380000114440918" hidden="0" customWidth="1"/>
    <x:col min="25" max="25" width="10.380000114440918" hidden="0" customWidth="1"/>
    <x:col min="7" max="7" width="3" hidden="0" customWidth="1"/>
    <x:col min="12" max="12" width="10.380000114440918" hidden="0" customWidth="1"/>
  </x:cols>
  <x:sheetData>
    <x:row r="1" ht="28" customHeight="1">
      <x:c r="A1" s="28" t="str">
        <x:v>老虎機數學入門 PART IV - Way Game RTP</x:v>
      </x:c>
      <x:c r="B1" s="28" t="str">
        <x:v>老虎機數學入門 PART IV - Way Game RTP</x:v>
      </x:c>
      <x:c r="C1" s="28" t="str">
        <x:v>老虎機數學入門 PART IV - Way Game RTP</x:v>
      </x:c>
      <x:c r="D1" s="28" t="str">
        <x:v>老虎機數學入門 PART IV - Way Game RTP</x:v>
      </x:c>
      <x:c r="E1" s="28" t="str">
        <x:v>老虎機數學入門 PART IV - Way Game RTP</x:v>
      </x:c>
      <x:c r="F1" s="28" t="str">
        <x:v>老虎機數學入門 PART IV - Way Game RTP</x:v>
      </x:c>
      <x:c r="G1" s="28" t="str">
        <x:v>老虎機數學入門 PART IV - Way Game RTP</x:v>
      </x:c>
      <x:c r="H1" s="28" t="str">
        <x:v>老虎機數學入門 PART IV - Way Game RTP</x:v>
      </x:c>
      <x:c r="I1" s="28" t="str">
        <x:v>老虎機數學入門 PART IV - Way Game RTP</x:v>
      </x:c>
      <x:c r="J1" s="28" t="str">
        <x:v>老虎機數學入門 PART IV - Way Game RTP</x:v>
      </x:c>
      <x:c r="K1" s="28" t="str">
        <x:v>老虎機數學入門 PART IV - Way Game RTP</x:v>
      </x:c>
      <x:c r="L1" s="28" t="str">
        <x:v>老虎機數學入門 PART IV - Way Game RTP</x:v>
      </x:c>
      <x:c r="M1" s="28" t="str">
        <x:v>老虎機數學入門 PART IV - Way Game RTP</x:v>
      </x:c>
      <x:c r="N1" s="28" t="str">
        <x:v>老虎機數學入門 PART IV - Way Game RTP</x:v>
      </x:c>
      <x:c r="O1" s="28" t="str">
        <x:v>老虎機數學入門 PART IV - Way Game RTP</x:v>
      </x:c>
      <x:c r="P1" s="28" t="str">
        <x:v>老虎機數學入門 PART IV - Way Game RTP</x:v>
      </x:c>
      <x:c r="Q1" s="28" t="str">
        <x:v>老虎機數學入門 PART IV - Way Game RTP</x:v>
      </x:c>
      <x:c r="R1" s="28" t="str">
        <x:v>老虎機數學入門 PART IV - Way Game RTP</x:v>
      </x:c>
      <x:c r="S1" s="28" t="str">
        <x:v>老虎機數學入門 PART IV - Way Game RTP</x:v>
      </x:c>
      <x:c r="T1" s="28" t="str">
        <x:v>老虎機數學入門 PART IV - Way Game RTP</x:v>
      </x:c>
      <x:c r="U1" s="28" t="str">
        <x:v>老虎機數學入門 PART IV - Way Game RTP</x:v>
      </x:c>
      <x:c r="V1" s="28" t="str">
        <x:v>老虎機數學入門 PART IV - Way Game RTP</x:v>
      </x:c>
      <x:c r="W1" s="28" t="str">
        <x:v>老虎機數學入門 PART IV - Way Game RTP</x:v>
      </x:c>
      <x:c r="X1" s="28" t="str">
        <x:v>老虎機數學入門 PART IV - Way Game RTP</x:v>
      </x:c>
      <x:c r="Y1" s="28" t="str">
        <x:v>老虎機數學入門 PART IV - Way Game RTP</x:v>
      </x:c>
    </x:row>
    <x:row r="2">
      <x:c r="A2" s="6" t="str">
        <x:v>Source: https://ezslotdesign.com/slotmath4/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</x:row>
    <x:row r="4">
      <x:c r="A4" s="10" t="str">
        <x:v>滾輪表</x:v>
      </x:c>
      <x:c r="B4" s="10" t="str">
        <x:v>滾輪表</x:v>
      </x:c>
      <x:c r="C4" s="10" t="str">
        <x:v>滾輪表</x:v>
      </x:c>
      <x:c r="D4" s="10" t="str">
        <x:v>滾輪表</x:v>
      </x:c>
      <x:c r="E4" s="10" t="str">
        <x:v>滾輪表</x:v>
      </x:c>
      <x:c r="F4" s="10" t="str">
        <x:v>滾輪表</x:v>
      </x:c>
      <x:c r="H4" s="10" t="str">
        <x:v>賠率表</x:v>
      </x:c>
      <x:c r="I4" s="10" t="str">
        <x:v>賠率表</x:v>
      </x:c>
      <x:c r="J4" s="10" t="str">
        <x:v>賠率表</x:v>
      </x:c>
      <x:c r="K4" s="10" t="str">
        <x:v>賠率表</x:v>
      </x:c>
      <x:c r="M4" s="20" t="str">
        <x:v>coin</x:v>
      </x:c>
      <x:c r="N4" s="18" t="n">
        <x:v>50</x:v>
      </x:c>
      <x:c r="O4" s="10" t="str">
        <x:v>Way Game 期望值計算</x:v>
      </x:c>
      <x:c r="P4" s="10" t="str">
        <x:v>Way Game 期望值計算</x:v>
      </x:c>
      <x:c r="Q4" s="10" t="str">
        <x:v>Way Game 期望值計算</x:v>
      </x:c>
      <x:c r="R4" s="10" t="str">
        <x:v>Way Game 期望值計算</x:v>
      </x:c>
      <x:c r="S4" s="10" t="str">
        <x:v>Way Game 期望值計算</x:v>
      </x:c>
      <x:c r="T4" s="10" t="str">
        <x:v>Way Game 期望值計算</x:v>
      </x:c>
      <x:c r="U4" s="10" t="str">
        <x:v>Way Game 期望值計算</x:v>
      </x:c>
      <x:c r="V4" s="10" t="str">
        <x:v>Way Game 期望值計算</x:v>
      </x:c>
      <x:c r="W4" s="10" t="str">
        <x:v>Way Game 期望值計算</x:v>
      </x:c>
      <x:c r="X4" s="10" t="str">
        <x:v>Way Game 期望值計算</x:v>
      </x:c>
      <x:c r="Y4" s="10" t="str">
        <x:v>Way Game 期望值計算</x:v>
      </x:c>
    </x:row>
    <x:row r="5">
      <x:c r="A5" s="16" t="str">
        <x:v>位置</x:v>
      </x:c>
      <x:c r="B5" s="16" t="str">
        <x:v>轉輪1</x:v>
      </x:c>
      <x:c r="C5" s="16" t="str">
        <x:v>轉輪2</x:v>
      </x:c>
      <x:c r="D5" s="16" t="str">
        <x:v>轉輪3</x:v>
      </x:c>
      <x:c r="E5" s="16" t="str">
        <x:v>轉輪4</x:v>
      </x:c>
      <x:c r="F5" s="16" t="str">
        <x:v>轉輪5</x:v>
      </x:c>
      <x:c r="H5" s="16" t="str">
        <x:v>圖案</x:v>
      </x:c>
      <x:c r="I5" s="16" t="str">
        <x:v>3連線</x:v>
      </x:c>
      <x:c r="J5" s="16" t="str">
        <x:v>4連線</x:v>
      </x:c>
      <x:c r="K5" s="16" t="str">
        <x:v>5連線</x:v>
      </x:c>
      <x:c r="M5" s="20" t="str">
        <x:v>轉輪高度</x:v>
      </x:c>
      <x:c r="N5" s="18" t="n">
        <x:v>3</x:v>
      </x:c>
      <x:c r="O5" s="16" t="str">
        <x:v>圖案</x:v>
      </x:c>
      <x:c r="P5" s="16" t="str">
        <x:v>連線數</x:v>
      </x:c>
      <x:c r="Q5" s="16" t="str">
        <x:v>轉輪1</x:v>
      </x:c>
      <x:c r="R5" s="16" t="str">
        <x:v>轉輪2</x:v>
      </x:c>
      <x:c r="S5" s="16" t="str">
        <x:v>轉輪3</x:v>
      </x:c>
      <x:c r="T5" s="16" t="str">
        <x:v>轉輪4</x:v>
      </x:c>
      <x:c r="U5" s="16" t="str">
        <x:v>轉輪5</x:v>
      </x:c>
      <x:c r="V5" s="16" t="str">
        <x:v>出現次數</x:v>
      </x:c>
      <x:c r="W5" s="16" t="str">
        <x:v>出現機率</x:v>
      </x:c>
      <x:c r="X5" s="16" t="str">
        <x:v>得分數</x:v>
      </x:c>
      <x:c r="Y5" s="16" t="str">
        <x:v>期望值</x:v>
      </x:c>
    </x:row>
    <x:row r="6">
      <x:c r="A6" s="19" t="n">
        <x:v>1</x:v>
      </x:c>
      <x:c r="B6" s="19" t="str">
        <x:v>K</x:v>
      </x:c>
      <x:c r="C6" s="19" t="str">
        <x:v>W</x:v>
      </x:c>
      <x:c r="D6" s="19" t="str">
        <x:v>W</x:v>
      </x:c>
      <x:c r="E6" s="19" t="str">
        <x:v>W</x:v>
      </x:c>
      <x:c r="F6" s="19" t="str">
        <x:v>W</x:v>
      </x:c>
      <x:c r="H6" s="19" t="str">
        <x:v>K</x:v>
      </x:c>
      <x:c r="I6" s="19" t="n">
        <x:v>5</x:v>
      </x:c>
      <x:c r="J6" s="19" t="n">
        <x:v>30</x:v>
      </x:c>
      <x:c r="K6" s="19" t="n">
        <x:v>100</x:v>
      </x:c>
      <x:c r="M6" s="20" t="str">
        <x:v>所有可能數</x:v>
      </x:c>
      <x:c r="N6" s="21" t="n">
        <x:f>PRODUCT(B30:F30)</x:f>
        <x:v>3200000</x:v>
      </x:c>
      <x:c r="O6" s="18" t="str">
        <x:v>S</x:v>
      </x:c>
      <x:c r="P6" s="18" t="n">
        <x:v>3</x:v>
      </x:c>
      <x:c r="Q6" s="18" t="str">
        <x:v>-</x:v>
      </x:c>
      <x:c r="R6" s="18" t="str">
        <x:v>3S</x:v>
      </x:c>
      <x:c r="S6" s="18" t="str">
        <x:v>3S</x:v>
      </x:c>
      <x:c r="T6" s="18" t="str">
        <x:v>3S</x:v>
      </x:c>
      <x:c r="U6" s="18" t="str">
        <x:v>-</x:v>
      </x:c>
      <x:c r="V6" s="21" t="n">
        <x:f>PRODUCT(VLOOKUP(Q6,$A$30:$F$48,2,FALSE),VLOOKUP(R6,$A$30:$F$48,3,FALSE),VLOOKUP(S6,$A$30:$F$48,4,FALSE),VLOOKUP(T6,$A$30:$F$48,5,FALSE),VLOOKUP(U6,$A$30:$F$48,6,FALSE))</x:f>
        <x:v>10800</x:v>
      </x:c>
      <x:c r="W6" s="24" t="n">
        <x:f>V6/$N$6</x:f>
        <x:v>0.003375</x:v>
      </x:c>
      <x:c r="X6" s="18" t="n">
        <x:f>INDEX($I$6:$K$11,MATCH(O6,$H$6:$H$11,0),MATCH(P6&amp;"連線",$I$5:$K$5,0))</x:f>
        <x:v>50</x:v>
      </x:c>
      <x:c r="Y6" s="22" t="n">
        <x:f>W6*X6/$N$4</x:f>
        <x:v>0.0033750000000000004</x:v>
      </x:c>
    </x:row>
    <x:row r="7">
      <x:c r="A7" s="19" t="n">
        <x:v>2</x:v>
      </x:c>
      <x:c r="B7" s="19" t="str">
        <x:v>Q</x:v>
      </x:c>
      <x:c r="C7" s="19" t="str">
        <x:v>K</x:v>
      </x:c>
      <x:c r="D7" s="19" t="str">
        <x:v>K</x:v>
      </x:c>
      <x:c r="E7" s="19" t="str">
        <x:v>K</x:v>
      </x:c>
      <x:c r="F7" s="19" t="str">
        <x:v>K</x:v>
      </x:c>
      <x:c r="H7" s="19" t="str">
        <x:v>Q</x:v>
      </x:c>
      <x:c r="I7" s="19" t="n">
        <x:v>5</x:v>
      </x:c>
      <x:c r="J7" s="19" t="n">
        <x:v>25</x:v>
      </x:c>
      <x:c r="K7" s="19" t="n">
        <x:v>100</x:v>
      </x:c>
      <x:c r="M7" s="20" t="str">
        <x:v>總期望值</x:v>
      </x:c>
      <x:c r="N7" s="22" t="n">
        <x:f>SUM(Y6:Y21)</x:f>
        <x:v>1.3414781250000003</x:v>
      </x:c>
      <x:c r="O7" s="18" t="str">
        <x:v>K</x:v>
      </x:c>
      <x:c r="P7" s="18" t="n">
        <x:v>5</x:v>
      </x:c>
      <x:c r="Q7" s="18" t="str">
        <x:v>WK</x:v>
      </x:c>
      <x:c r="R7" s="18" t="str">
        <x:v>WK</x:v>
      </x:c>
      <x:c r="S7" s="18" t="str">
        <x:v>WK</x:v>
      </x:c>
      <x:c r="T7" s="18" t="str">
        <x:v>WK</x:v>
      </x:c>
      <x:c r="U7" s="18" t="str">
        <x:v>WK</x:v>
      </x:c>
      <x:c r="V7" s="21" t="n">
        <x:f>PRODUCT(VLOOKUP(Q7,$A$30:$F$48,2,FALSE),VLOOKUP(R7,$A$30:$F$48,3,FALSE),VLOOKUP(S7,$A$30:$F$48,4,FALSE),VLOOKUP(T7,$A$30:$F$48,5,FALSE),VLOOKUP(U7,$A$30:$F$48,6,FALSE))</x:f>
        <x:v>124416</x:v>
      </x:c>
      <x:c r="W7" s="24" t="n">
        <x:f>V7/$N$6</x:f>
        <x:v>0.03888</x:v>
      </x:c>
      <x:c r="X7" s="18" t="n">
        <x:f>INDEX($I$6:$K$11,MATCH(O7,$H$6:$H$11,0),MATCH(P7&amp;"連線",$I$5:$K$5,0))</x:f>
        <x:v>100</x:v>
      </x:c>
      <x:c r="Y7" s="22" t="n">
        <x:f>W7*X7/$N$4</x:f>
        <x:v>0.07776</x:v>
      </x:c>
    </x:row>
    <x:row r="8">
      <x:c r="A8" s="19" t="n">
        <x:v>3</x:v>
      </x:c>
      <x:c r="B8" s="19" t="str">
        <x:v>J</x:v>
      </x:c>
      <x:c r="C8" s="19" t="str">
        <x:v>Q</x:v>
      </x:c>
      <x:c r="D8" s="19" t="str">
        <x:v>Q</x:v>
      </x:c>
      <x:c r="E8" s="19" t="str">
        <x:v>Q</x:v>
      </x:c>
      <x:c r="F8" s="19" t="str">
        <x:v>Q</x:v>
      </x:c>
      <x:c r="H8" s="19" t="str">
        <x:v>J</x:v>
      </x:c>
      <x:c r="I8" s="19" t="n">
        <x:v>5</x:v>
      </x:c>
      <x:c r="J8" s="19" t="n">
        <x:v>20</x:v>
      </x:c>
      <x:c r="K8" s="19" t="n">
        <x:v>75</x:v>
      </x:c>
      <x:c r="M8" s="20" t="str">
        <x:v>說明</x:v>
      </x:c>
      <x:c r="N8" s="18" t="str">
        <x:v>Way Game 期望值需除以 coin</x:v>
      </x:c>
      <x:c r="O8" s="18" t="str">
        <x:v>K</x:v>
      </x:c>
      <x:c r="P8" s="18" t="n">
        <x:v>4</x:v>
      </x:c>
      <x:c r="Q8" s="18" t="str">
        <x:v>WK</x:v>
      </x:c>
      <x:c r="R8" s="18" t="str">
        <x:v>WK</x:v>
      </x:c>
      <x:c r="S8" s="18" t="str">
        <x:v>WK</x:v>
      </x:c>
      <x:c r="T8" s="18" t="str">
        <x:v>WK</x:v>
      </x:c>
      <x:c r="U8" s="18" t="str">
        <x:v>X_WK</x:v>
      </x:c>
      <x:c r="V8" s="21" t="n">
        <x:f>PRODUCT(VLOOKUP(Q8,$A$30:$F$48,2,FALSE),VLOOKUP(R8,$A$30:$F$48,3,FALSE),VLOOKUP(S8,$A$30:$F$48,4,FALSE),VLOOKUP(T8,$A$30:$F$48,5,FALSE),VLOOKUP(U8,$A$30:$F$48,6,FALSE))</x:f>
        <x:v>103680</x:v>
      </x:c>
      <x:c r="W8" s="24" t="n">
        <x:f>V8/$N$6</x:f>
        <x:v>0.0324</x:v>
      </x:c>
      <x:c r="X8" s="18" t="n">
        <x:f>INDEX($I$6:$K$11,MATCH(O8,$H$6:$H$11,0),MATCH(P8&amp;"連線",$I$5:$K$5,0))</x:f>
        <x:v>30</x:v>
      </x:c>
      <x:c r="Y8" s="22" t="n">
        <x:f>W8*X8/$N$4</x:f>
        <x:v>0.01944</x:v>
      </x:c>
    </x:row>
    <x:row r="9">
      <x:c r="A9" s="19" t="n">
        <x:v>4</x:v>
      </x:c>
      <x:c r="B9" s="19" t="str">
        <x:v>10</x:v>
      </x:c>
      <x:c r="C9" s="19" t="str">
        <x:v>J</x:v>
      </x:c>
      <x:c r="D9" s="19" t="str">
        <x:v>J</x:v>
      </x:c>
      <x:c r="E9" s="19" t="str">
        <x:v>J</x:v>
      </x:c>
      <x:c r="F9" s="19" t="str">
        <x:v>J</x:v>
      </x:c>
      <x:c r="H9" s="19" t="str">
        <x:v>10</x:v>
      </x:c>
      <x:c r="I9" s="19" t="n">
        <x:v>5</x:v>
      </x:c>
      <x:c r="J9" s="19" t="n">
        <x:v>20</x:v>
      </x:c>
      <x:c r="K9" s="19" t="n">
        <x:v>75</x:v>
      </x:c>
      <x:c r="M9"/>
      <x:c r="N9"/>
      <x:c r="O9" s="18" t="str">
        <x:v>K</x:v>
      </x:c>
      <x:c r="P9" s="18" t="n">
        <x:v>3</x:v>
      </x:c>
      <x:c r="Q9" s="18" t="str">
        <x:v>WK</x:v>
      </x:c>
      <x:c r="R9" s="18" t="str">
        <x:v>WK</x:v>
      </x:c>
      <x:c r="S9" s="18" t="str">
        <x:v>WK</x:v>
      </x:c>
      <x:c r="T9" s="18" t="str">
        <x:v>X_WK</x:v>
      </x:c>
      <x:c r="U9" s="18" t="str">
        <x:v>-</x:v>
      </x:c>
      <x:c r="V9" s="21" t="n">
        <x:f>PRODUCT(VLOOKUP(Q9,$A$30:$F$48,2,FALSE),VLOOKUP(R9,$A$30:$F$48,3,FALSE),VLOOKUP(S9,$A$30:$F$48,4,FALSE),VLOOKUP(T9,$A$30:$F$48,5,FALSE),VLOOKUP(U9,$A$30:$F$48,6,FALSE))</x:f>
        <x:v>172800</x:v>
      </x:c>
      <x:c r="W9" s="24" t="n">
        <x:f>V9/$N$6</x:f>
        <x:v>0.054</x:v>
      </x:c>
      <x:c r="X9" s="18" t="n">
        <x:f>INDEX($I$6:$K$11,MATCH(O9,$H$6:$H$11,0),MATCH(P9&amp;"連線",$I$5:$K$5,0))</x:f>
        <x:v>5</x:v>
      </x:c>
      <x:c r="Y9" s="22" t="n">
        <x:f>W9*X9/$N$4</x:f>
        <x:v>0.0054</x:v>
      </x:c>
    </x:row>
    <x:row r="10">
      <x:c r="A10" s="19" t="n">
        <x:v>5</x:v>
      </x:c>
      <x:c r="B10" s="19" t="str">
        <x:v>9</x:v>
      </x:c>
      <x:c r="C10" s="19" t="str">
        <x:v>10</x:v>
      </x:c>
      <x:c r="D10" s="19" t="str">
        <x:v>10</x:v>
      </x:c>
      <x:c r="E10" s="19" t="str">
        <x:v>10</x:v>
      </x:c>
      <x:c r="F10" s="19" t="str">
        <x:v>10</x:v>
      </x:c>
      <x:c r="H10" s="19" t="str">
        <x:v>9</x:v>
      </x:c>
      <x:c r="I10" s="19" t="n">
        <x:v>5</x:v>
      </x:c>
      <x:c r="J10" s="19" t="n">
        <x:v>10</x:v>
      </x:c>
      <x:c r="K10" s="19" t="n">
        <x:v>50</x:v>
      </x:c>
      <x:c r="O10" s="18" t="str">
        <x:v>Q</x:v>
      </x:c>
      <x:c r="P10" s="18" t="n">
        <x:v>5</x:v>
      </x:c>
      <x:c r="Q10" s="18" t="str">
        <x:v>WQ</x:v>
      </x:c>
      <x:c r="R10" s="18" t="str">
        <x:v>WQ</x:v>
      </x:c>
      <x:c r="S10" s="18" t="str">
        <x:v>WQ</x:v>
      </x:c>
      <x:c r="T10" s="18" t="str">
        <x:v>WQ</x:v>
      </x:c>
      <x:c r="U10" s="18" t="str">
        <x:v>WQ</x:v>
      </x:c>
      <x:c r="V10" s="21" t="n">
        <x:f>PRODUCT(VLOOKUP(Q10,$A$30:$F$48,2,FALSE),VLOOKUP(R10,$A$30:$F$48,3,FALSE),VLOOKUP(S10,$A$30:$F$48,4,FALSE),VLOOKUP(T10,$A$30:$F$48,5,FALSE),VLOOKUP(U10,$A$30:$F$48,6,FALSE))</x:f>
        <x:v>186624</x:v>
      </x:c>
      <x:c r="W10" s="24" t="n">
        <x:f>V10/$N$6</x:f>
        <x:v>0.05832</x:v>
      </x:c>
      <x:c r="X10" s="18" t="n">
        <x:f>INDEX($I$6:$K$11,MATCH(O10,$H$6:$H$11,0),MATCH(P10&amp;"連線",$I$5:$K$5,0))</x:f>
        <x:v>100</x:v>
      </x:c>
      <x:c r="Y10" s="22" t="n">
        <x:f>W10*X10/$N$4</x:f>
        <x:v>0.11664</x:v>
      </x:c>
    </x:row>
    <x:row r="11">
      <x:c r="A11" s="19" t="n">
        <x:v>6</x:v>
      </x:c>
      <x:c r="B11" s="19" t="str">
        <x:v>9</x:v>
      </x:c>
      <x:c r="C11" s="19" t="str">
        <x:v>9</x:v>
      </x:c>
      <x:c r="D11" s="19" t="str">
        <x:v>9</x:v>
      </x:c>
      <x:c r="E11" s="19" t="str">
        <x:v>9</x:v>
      </x:c>
      <x:c r="F11" s="19" t="str">
        <x:v>9</x:v>
      </x:c>
      <x:c r="H11" s="19" t="str">
        <x:v>S</x:v>
      </x:c>
      <x:c r="I11" s="19" t="n">
        <x:v>50</x:v>
      </x:c>
      <x:c r="J11" s="19" t="n">
        <x:v>0</x:v>
      </x:c>
      <x:c r="K11" s="19" t="n">
        <x:v>0</x:v>
      </x:c>
      <x:c r="O11" s="18" t="str">
        <x:v>Q</x:v>
      </x:c>
      <x:c r="P11" s="18" t="n">
        <x:v>4</x:v>
      </x:c>
      <x:c r="Q11" s="18" t="str">
        <x:v>WQ</x:v>
      </x:c>
      <x:c r="R11" s="18" t="str">
        <x:v>WQ</x:v>
      </x:c>
      <x:c r="S11" s="18" t="str">
        <x:v>WQ</x:v>
      </x:c>
      <x:c r="T11" s="18" t="str">
        <x:v>WQ</x:v>
      </x:c>
      <x:c r="U11" s="18" t="str">
        <x:v>X_WQ</x:v>
      </x:c>
      <x:c r="V11" s="21" t="n">
        <x:f>PRODUCT(VLOOKUP(Q11,$A$30:$F$48,2,FALSE),VLOOKUP(R11,$A$30:$F$48,3,FALSE),VLOOKUP(S11,$A$30:$F$48,4,FALSE),VLOOKUP(T11,$A$30:$F$48,5,FALSE),VLOOKUP(U11,$A$30:$F$48,6,FALSE))</x:f>
        <x:v>139968</x:v>
      </x:c>
      <x:c r="W11" s="24" t="n">
        <x:f>V11/$N$6</x:f>
        <x:v>0.04374</x:v>
      </x:c>
      <x:c r="X11" s="18" t="n">
        <x:f>INDEX($I$6:$K$11,MATCH(O11,$H$6:$H$11,0),MATCH(P11&amp;"連線",$I$5:$K$5,0))</x:f>
        <x:v>25</x:v>
      </x:c>
      <x:c r="Y11" s="22" t="n">
        <x:f>W11*X11/$N$4</x:f>
        <x:v>0.021870000000000004</x:v>
      </x:c>
    </x:row>
    <x:row r="12">
      <x:c r="A12" s="19" t="n">
        <x:v>7</x:v>
      </x:c>
      <x:c r="B12" s="19" t="str">
        <x:v>K</x:v>
      </x:c>
      <x:c r="C12" s="19" t="str">
        <x:v>S</x:v>
      </x:c>
      <x:c r="D12" s="19" t="str">
        <x:v>S</x:v>
      </x:c>
      <x:c r="E12" s="19" t="str">
        <x:v>S</x:v>
      </x:c>
      <x:c r="F12" s="19" t="str">
        <x:v>9</x:v>
      </x:c>
      <x:c r="O12" s="18" t="str">
        <x:v>Q</x:v>
      </x:c>
      <x:c r="P12" s="18" t="n">
        <x:v>3</x:v>
      </x:c>
      <x:c r="Q12" s="18" t="str">
        <x:v>WQ</x:v>
      </x:c>
      <x:c r="R12" s="18" t="str">
        <x:v>WQ</x:v>
      </x:c>
      <x:c r="S12" s="18" t="str">
        <x:v>WQ</x:v>
      </x:c>
      <x:c r="T12" s="18" t="str">
        <x:v>X_WQ</x:v>
      </x:c>
      <x:c r="U12" s="18" t="str">
        <x:v>-</x:v>
      </x:c>
      <x:c r="V12" s="21" t="n">
        <x:f>PRODUCT(VLOOKUP(Q12,$A$30:$F$48,2,FALSE),VLOOKUP(R12,$A$30:$F$48,3,FALSE),VLOOKUP(S12,$A$30:$F$48,4,FALSE),VLOOKUP(T12,$A$30:$F$48,5,FALSE),VLOOKUP(U12,$A$30:$F$48,6,FALSE))</x:f>
        <x:v>233280</x:v>
      </x:c>
      <x:c r="W12" s="24" t="n">
        <x:f>V12/$N$6</x:f>
        <x:v>0.0729</x:v>
      </x:c>
      <x:c r="X12" s="18" t="n">
        <x:f>INDEX($I$6:$K$11,MATCH(O12,$H$6:$H$11,0),MATCH(P12&amp;"連線",$I$5:$K$5,0))</x:f>
        <x:v>5</x:v>
      </x:c>
      <x:c r="Y12" s="22" t="n">
        <x:f>W12*X12/$N$4</x:f>
        <x:v>0.007290000000000001</x:v>
      </x:c>
    </x:row>
    <x:row r="13">
      <x:c r="A13" s="19" t="n">
        <x:v>8</x:v>
      </x:c>
      <x:c r="B13" s="19" t="str">
        <x:v>Q</x:v>
      </x:c>
      <x:c r="C13" s="19" t="str">
        <x:v>K</x:v>
      </x:c>
      <x:c r="D13" s="19" t="str">
        <x:v>K</x:v>
      </x:c>
      <x:c r="E13" s="19" t="str">
        <x:v>K</x:v>
      </x:c>
      <x:c r="F13" s="19" t="str">
        <x:v>K</x:v>
      </x:c>
      <x:c r="O13" s="18" t="str">
        <x:v>J</x:v>
      </x:c>
      <x:c r="P13" s="18" t="n">
        <x:v>5</x:v>
      </x:c>
      <x:c r="Q13" s="18" t="str">
        <x:v>WJ</x:v>
      </x:c>
      <x:c r="R13" s="18" t="str">
        <x:v>WJ</x:v>
      </x:c>
      <x:c r="S13" s="18" t="str">
        <x:v>WJ</x:v>
      </x:c>
      <x:c r="T13" s="18" t="str">
        <x:v>WJ</x:v>
      </x:c>
      <x:c r="U13" s="18" t="str">
        <x:v>WJ</x:v>
      </x:c>
      <x:c r="V13" s="21" t="n">
        <x:f>PRODUCT(VLOOKUP(Q13,$A$30:$F$48,2,FALSE),VLOOKUP(R13,$A$30:$F$48,3,FALSE),VLOOKUP(S13,$A$30:$F$48,4,FALSE),VLOOKUP(T13,$A$30:$F$48,5,FALSE),VLOOKUP(U13,$A$30:$F$48,6,FALSE))</x:f>
        <x:v>729000</x:v>
      </x:c>
      <x:c r="W13" s="24" t="n">
        <x:f>V13/$N$6</x:f>
        <x:v>0.2278125</x:v>
      </x:c>
      <x:c r="X13" s="18" t="n">
        <x:f>INDEX($I$6:$K$11,MATCH(O13,$H$6:$H$11,0),MATCH(P13&amp;"連線",$I$5:$K$5,0))</x:f>
        <x:v>75</x:v>
      </x:c>
      <x:c r="Y13" s="22" t="n">
        <x:f>W13*X13/$N$4</x:f>
        <x:v>0.34171875</x:v>
      </x:c>
    </x:row>
    <x:row r="14">
      <x:c r="A14" s="19" t="n">
        <x:v>9</x:v>
      </x:c>
      <x:c r="B14" s="19" t="str">
        <x:v>J</x:v>
      </x:c>
      <x:c r="C14" s="19" t="str">
        <x:v>Q</x:v>
      </x:c>
      <x:c r="D14" s="19" t="str">
        <x:v>Q</x:v>
      </x:c>
      <x:c r="E14" s="19" t="str">
        <x:v>Q</x:v>
      </x:c>
      <x:c r="F14" s="19" t="str">
        <x:v>Q</x:v>
      </x:c>
      <x:c r="H14" s="10" t="str">
        <x:v>計算理論</x:v>
      </x:c>
      <x:c r="I14" s="10" t="str">
        <x:v>計算理論</x:v>
      </x:c>
      <x:c r="J14" s="10" t="str">
        <x:v>計算理論</x:v>
      </x:c>
      <x:c r="K14" s="10" t="str">
        <x:v>計算理論</x:v>
      </x:c>
      <x:c r="L14" s="10" t="str">
        <x:v>計算理論</x:v>
      </x:c>
      <x:c r="M14" s="10" t="str">
        <x:v>計算理論</x:v>
      </x:c>
      <x:c r="O14" s="18" t="str">
        <x:v>J</x:v>
      </x:c>
      <x:c r="P14" s="18" t="n">
        <x:v>4</x:v>
      </x:c>
      <x:c r="Q14" s="18" t="str">
        <x:v>WJ</x:v>
      </x:c>
      <x:c r="R14" s="18" t="str">
        <x:v>WJ</x:v>
      </x:c>
      <x:c r="S14" s="18" t="str">
        <x:v>WJ</x:v>
      </x:c>
      <x:c r="T14" s="18" t="str">
        <x:v>WJ</x:v>
      </x:c>
      <x:c r="U14" s="18" t="str">
        <x:v>X_WJ</x:v>
      </x:c>
      <x:c r="V14" s="21" t="n">
        <x:f>PRODUCT(VLOOKUP(Q14,$A$30:$F$48,2,FALSE),VLOOKUP(R14,$A$30:$F$48,3,FALSE),VLOOKUP(S14,$A$30:$F$48,4,FALSE),VLOOKUP(T14,$A$30:$F$48,5,FALSE),VLOOKUP(U14,$A$30:$F$48,6,FALSE))</x:f>
        <x:v>243000</x:v>
      </x:c>
      <x:c r="W14" s="24" t="n">
        <x:f>V14/$N$6</x:f>
        <x:v>0.0759375</x:v>
      </x:c>
      <x:c r="X14" s="18" t="n">
        <x:f>INDEX($I$6:$K$11,MATCH(O14,$H$6:$H$11,0),MATCH(P14&amp;"連線",$I$5:$K$5,0))</x:f>
        <x:v>20</x:v>
      </x:c>
      <x:c r="Y14" s="22" t="n">
        <x:f>W14*X14/$N$4</x:f>
        <x:v>0.030375</x:v>
      </x:c>
    </x:row>
    <x:row r="15">
      <x:c r="A15" s="19" t="n">
        <x:v>10</x:v>
      </x:c>
      <x:c r="B15" s="19" t="str">
        <x:v>10</x:v>
      </x:c>
      <x:c r="C15" s="19" t="str">
        <x:v>J</x:v>
      </x:c>
      <x:c r="D15" s="19" t="str">
        <x:v>J</x:v>
      </x:c>
      <x:c r="E15" s="19" t="str">
        <x:v>J</x:v>
      </x:c>
      <x:c r="F15" s="19" t="str">
        <x:v>J</x:v>
      </x:c>
      <x:c r="H15" s="16" t="str">
        <x:v>項目</x:v>
      </x:c>
      <x:c r="I15" s="25" t="str">
        <x:v>說明</x:v>
      </x:c>
      <x:c r="J15" s="25"/>
      <x:c r="K15" s="25"/>
      <x:c r="L15" s="25"/>
      <x:c r="M15" s="25"/>
      <x:c r="O15" s="18" t="str">
        <x:v>J</x:v>
      </x:c>
      <x:c r="P15" s="18" t="n">
        <x:v>3</x:v>
      </x:c>
      <x:c r="Q15" s="18" t="str">
        <x:v>WJ</x:v>
      </x:c>
      <x:c r="R15" s="18" t="str">
        <x:v>WJ</x:v>
      </x:c>
      <x:c r="S15" s="18" t="str">
        <x:v>WJ</x:v>
      </x:c>
      <x:c r="T15" s="18" t="str">
        <x:v>X_WJ</x:v>
      </x:c>
      <x:c r="U15" s="18" t="str">
        <x:v>-</x:v>
      </x:c>
      <x:c r="V15" s="21" t="n">
        <x:f>PRODUCT(VLOOKUP(Q15,$A$30:$F$48,2,FALSE),VLOOKUP(R15,$A$30:$F$48,3,FALSE),VLOOKUP(S15,$A$30:$F$48,4,FALSE),VLOOKUP(T15,$A$30:$F$48,5,FALSE),VLOOKUP(U15,$A$30:$F$48,6,FALSE))</x:f>
        <x:v>324000</x:v>
      </x:c>
      <x:c r="W15" s="24" t="n">
        <x:f>V15/$N$6</x:f>
        <x:v>0.10125</x:v>
      </x:c>
      <x:c r="X15" s="18" t="n">
        <x:f>INDEX($I$6:$K$11,MATCH(O15,$H$6:$H$11,0),MATCH(P15&amp;"連線",$I$5:$K$5,0))</x:f>
        <x:v>5</x:v>
      </x:c>
      <x:c r="Y15" s="22" t="n">
        <x:f>W15*X15/$N$4</x:f>
        <x:v>0.010125000000000002</x:v>
      </x:c>
    </x:row>
    <x:row r="16">
      <x:c r="A16" s="19" t="n">
        <x:v>11</x:v>
      </x:c>
      <x:c r="B16" s="19" t="str">
        <x:v>9</x:v>
      </x:c>
      <x:c r="C16" s="19" t="str">
        <x:v>10</x:v>
      </x:c>
      <x:c r="D16" s="19" t="str">
        <x:v>10</x:v>
      </x:c>
      <x:c r="E16" s="19" t="str">
        <x:v>10</x:v>
      </x:c>
      <x:c r="F16" s="19" t="str">
        <x:v>10</x:v>
      </x:c>
      <x:c r="H16" s="18" t="str">
        <x:v>Way 命中數</x:v>
      </x:c>
      <x:c r="I16" s="26" t="str">
        <x:v>逐一檢查每個 stop 的 3 格視窗，只要視窗內有 W 或指定圖案就計 1</x:v>
      </x:c>
      <x:c r="J16" s="26"/>
      <x:c r="K16" s="26"/>
      <x:c r="L16" s="26"/>
      <x:c r="M16" s="26"/>
      <x:c r="O16" s="18" t="str">
        <x:v>10</x:v>
      </x:c>
      <x:c r="P16" s="18" t="n">
        <x:v>5</x:v>
      </x:c>
      <x:c r="Q16" s="18" t="str">
        <x:v>W10</x:v>
      </x:c>
      <x:c r="R16" s="18" t="str">
        <x:v>W10</x:v>
      </x:c>
      <x:c r="S16" s="18" t="str">
        <x:v>W10</x:v>
      </x:c>
      <x:c r="T16" s="18" t="str">
        <x:v>W10</x:v>
      </x:c>
      <x:c r="U16" s="18" t="str">
        <x:v>W10</x:v>
      </x:c>
      <x:c r="V16" s="21" t="n">
        <x:f>PRODUCT(VLOOKUP(Q16,$A$30:$F$48,2,FALSE),VLOOKUP(R16,$A$30:$F$48,3,FALSE),VLOOKUP(S16,$A$30:$F$48,4,FALSE),VLOOKUP(T16,$A$30:$F$48,5,FALSE),VLOOKUP(U16,$A$30:$F$48,6,FALSE))</x:f>
        <x:v>607500</x:v>
      </x:c>
      <x:c r="W16" s="24" t="n">
        <x:f>V16/$N$6</x:f>
        <x:v>0.18984375</x:v>
      </x:c>
      <x:c r="X16" s="18" t="n">
        <x:f>INDEX($I$6:$K$11,MATCH(O16,$H$6:$H$11,0),MATCH(P16&amp;"連線",$I$5:$K$5,0))</x:f>
        <x:v>75</x:v>
      </x:c>
      <x:c r="Y16" s="22" t="n">
        <x:f>W16*X16/$N$4</x:f>
        <x:v>0.284765625</x:v>
      </x:c>
    </x:row>
    <x:row r="17">
      <x:c r="A17" s="19" t="n">
        <x:v>12</x:v>
      </x:c>
      <x:c r="B17" s="19" t="str">
        <x:v>10</x:v>
      </x:c>
      <x:c r="C17" s="19" t="str">
        <x:v>9</x:v>
      </x:c>
      <x:c r="D17" s="19" t="str">
        <x:v>9</x:v>
      </x:c>
      <x:c r="E17" s="19" t="str">
        <x:v>9</x:v>
      </x:c>
      <x:c r="F17" s="19" t="str">
        <x:v>9</x:v>
      </x:c>
      <x:c r="H17" s="18" t="str">
        <x:v>X_WK</x:v>
      </x:c>
      <x:c r="I17" s="26" t="str">
        <x:v>不是用 20 - (W+K)*3，而是 20 - WK 的實際視窗命中數</x:v>
      </x:c>
      <x:c r="J17" s="26"/>
      <x:c r="K17" s="26"/>
      <x:c r="L17" s="26"/>
      <x:c r="M17" s="26"/>
      <x:c r="O17" s="18" t="str">
        <x:v>10</x:v>
      </x:c>
      <x:c r="P17" s="18" t="n">
        <x:v>4</x:v>
      </x:c>
      <x:c r="Q17" s="18" t="str">
        <x:v>W10</x:v>
      </x:c>
      <x:c r="R17" s="18" t="str">
        <x:v>W10</x:v>
      </x:c>
      <x:c r="S17" s="18" t="str">
        <x:v>W10</x:v>
      </x:c>
      <x:c r="T17" s="18" t="str">
        <x:v>W10</x:v>
      </x:c>
      <x:c r="U17" s="18" t="str">
        <x:v>X_W10</x:v>
      </x:c>
      <x:c r="V17" s="21" t="n">
        <x:f>PRODUCT(VLOOKUP(Q17,$A$30:$F$48,2,FALSE),VLOOKUP(R17,$A$30:$F$48,3,FALSE),VLOOKUP(S17,$A$30:$F$48,4,FALSE),VLOOKUP(T17,$A$30:$F$48,5,FALSE),VLOOKUP(U17,$A$30:$F$48,6,FALSE))</x:f>
        <x:v>243000</x:v>
      </x:c>
      <x:c r="W17" s="24" t="n">
        <x:f>V17/$N$6</x:f>
        <x:v>0.0759375</x:v>
      </x:c>
      <x:c r="X17" s="18" t="n">
        <x:f>INDEX($I$6:$K$11,MATCH(O17,$H$6:$H$11,0),MATCH(P17&amp;"連線",$I$5:$K$5,0))</x:f>
        <x:v>20</x:v>
      </x:c>
      <x:c r="Y17" s="22" t="n">
        <x:f>W17*X17/$N$4</x:f>
        <x:v>0.030375</x:v>
      </x:c>
    </x:row>
    <x:row r="18">
      <x:c r="A18" s="19" t="n">
        <x:v>13</x:v>
      </x:c>
      <x:c r="B18" s="19" t="str">
        <x:v>Q</x:v>
      </x:c>
      <x:c r="C18" s="19" t="str">
        <x:v>K</x:v>
      </x:c>
      <x:c r="D18" s="19" t="str">
        <x:v>K</x:v>
      </x:c>
      <x:c r="E18" s="19" t="str">
        <x:v>K</x:v>
      </x:c>
      <x:c r="F18" s="19" t="str">
        <x:v>K</x:v>
      </x:c>
      <x:c r="H18" s="18" t="str">
        <x:v>出現次數</x:v>
      </x:c>
      <x:c r="I18" s="26" t="str">
        <x:v>各轉輪條件數相乘，和 Line Game 的 PRODUCT 邏輯相同</x:v>
      </x:c>
      <x:c r="J18" s="26"/>
      <x:c r="K18" s="26"/>
      <x:c r="L18" s="26"/>
      <x:c r="M18" s="26"/>
      <x:c r="O18" s="18" t="str">
        <x:v>10</x:v>
      </x:c>
      <x:c r="P18" s="18" t="n">
        <x:v>3</x:v>
      </x:c>
      <x:c r="Q18" s="18" t="str">
        <x:v>W10</x:v>
      </x:c>
      <x:c r="R18" s="18" t="str">
        <x:v>W10</x:v>
      </x:c>
      <x:c r="S18" s="18" t="str">
        <x:v>W10</x:v>
      </x:c>
      <x:c r="T18" s="18" t="str">
        <x:v>X_W10</x:v>
      </x:c>
      <x:c r="U18" s="18" t="str">
        <x:v>-</x:v>
      </x:c>
      <x:c r="V18" s="21" t="n">
        <x:f>PRODUCT(VLOOKUP(Q18,$A$30:$F$48,2,FALSE),VLOOKUP(R18,$A$30:$F$48,3,FALSE),VLOOKUP(S18,$A$30:$F$48,4,FALSE),VLOOKUP(T18,$A$30:$F$48,5,FALSE),VLOOKUP(U18,$A$30:$F$48,6,FALSE))</x:f>
        <x:v>324000</x:v>
      </x:c>
      <x:c r="W18" s="24" t="n">
        <x:f>V18/$N$6</x:f>
        <x:v>0.10125</x:v>
      </x:c>
      <x:c r="X18" s="18" t="n">
        <x:f>INDEX($I$6:$K$11,MATCH(O18,$H$6:$H$11,0),MATCH(P18&amp;"連線",$I$5:$K$5,0))</x:f>
        <x:v>5</x:v>
      </x:c>
      <x:c r="Y18" s="22" t="n">
        <x:f>W18*X18/$N$4</x:f>
        <x:v>0.010125000000000002</x:v>
      </x:c>
    </x:row>
    <x:row r="19">
      <x:c r="A19" s="19" t="n">
        <x:v>14</x:v>
      </x:c>
      <x:c r="B19" s="19" t="str">
        <x:v>J</x:v>
      </x:c>
      <x:c r="C19" s="19" t="str">
        <x:v>Q</x:v>
      </x:c>
      <x:c r="D19" s="19" t="str">
        <x:v>Q</x:v>
      </x:c>
      <x:c r="E19" s="19" t="str">
        <x:v>Q</x:v>
      </x:c>
      <x:c r="F19" s="19" t="str">
        <x:v>Q</x:v>
      </x:c>
      <x:c r="H19" s="18" t="str">
        <x:v>期望值</x:v>
      </x:c>
      <x:c r="I19" s="26" t="str">
        <x:v>出現機率 × 得分數 ÷ coin</x:v>
      </x:c>
      <x:c r="J19" s="26"/>
      <x:c r="K19" s="26"/>
      <x:c r="L19" s="26"/>
      <x:c r="M19" s="26"/>
      <x:c r="O19" s="18" t="str">
        <x:v>9</x:v>
      </x:c>
      <x:c r="P19" s="18" t="n">
        <x:v>5</x:v>
      </x:c>
      <x:c r="Q19" s="18" t="str">
        <x:v>W9</x:v>
      </x:c>
      <x:c r="R19" s="18" t="str">
        <x:v>W9</x:v>
      </x:c>
      <x:c r="S19" s="18" t="str">
        <x:v>W9</x:v>
      </x:c>
      <x:c r="T19" s="18" t="str">
        <x:v>W9</x:v>
      </x:c>
      <x:c r="U19" s="18" t="str">
        <x:v>W9</x:v>
      </x:c>
      <x:c r="V19" s="21" t="n">
        <x:f>PRODUCT(VLOOKUP(Q19,$A$30:$F$48,2,FALSE),VLOOKUP(R19,$A$30:$F$48,3,FALSE),VLOOKUP(S19,$A$30:$F$48,4,FALSE),VLOOKUP(T19,$A$30:$F$48,5,FALSE),VLOOKUP(U19,$A$30:$F$48,6,FALSE))</x:f>
        <x:v>1093500</x:v>
      </x:c>
      <x:c r="W19" s="24" t="n">
        <x:f>V19/$N$6</x:f>
        <x:v>0.34171875</x:v>
      </x:c>
      <x:c r="X19" s="18" t="n">
        <x:f>INDEX($I$6:$K$11,MATCH(O19,$H$6:$H$11,0),MATCH(P19&amp;"連線",$I$5:$K$5,0))</x:f>
        <x:v>50</x:v>
      </x:c>
      <x:c r="Y19" s="22" t="n">
        <x:f>W19*X19/$N$4</x:f>
        <x:v>0.34171875</x:v>
      </x:c>
    </x:row>
    <x:row r="20">
      <x:c r="A20" s="19" t="n">
        <x:v>15</x:v>
      </x:c>
      <x:c r="B20" s="19" t="str">
        <x:v>10</x:v>
      </x:c>
      <x:c r="C20" s="19" t="str">
        <x:v>J</x:v>
      </x:c>
      <x:c r="D20" s="19" t="str">
        <x:v>J</x:v>
      </x:c>
      <x:c r="E20" s="19" t="str">
        <x:v>J</x:v>
      </x:c>
      <x:c r="F20" s="19" t="str">
        <x:v>J</x:v>
      </x:c>
      <x:c r="H20" s="18" t="str">
        <x:v>本例</x:v>
      </x:c>
      <x:c r="I20" s="26" t="str">
        <x:v>coin = 50，轉輪高度 = 3，所有可能數 = 20^5</x:v>
      </x:c>
      <x:c r="J20" s="26"/>
      <x:c r="K20" s="26"/>
      <x:c r="L20" s="26"/>
      <x:c r="M20" s="26"/>
      <x:c r="O20" s="18" t="str">
        <x:v>9</x:v>
      </x:c>
      <x:c r="P20" s="18" t="n">
        <x:v>4</x:v>
      </x:c>
      <x:c r="Q20" s="18" t="str">
        <x:v>W9</x:v>
      </x:c>
      <x:c r="R20" s="18" t="str">
        <x:v>W9</x:v>
      </x:c>
      <x:c r="S20" s="18" t="str">
        <x:v>W9</x:v>
      </x:c>
      <x:c r="T20" s="18" t="str">
        <x:v>W9</x:v>
      </x:c>
      <x:c r="U20" s="18" t="str">
        <x:v>X_W9</x:v>
      </x:c>
      <x:c r="V20" s="21" t="n">
        <x:f>PRODUCT(VLOOKUP(Q20,$A$30:$F$48,2,FALSE),VLOOKUP(R20,$A$30:$F$48,3,FALSE),VLOOKUP(S20,$A$30:$F$48,4,FALSE),VLOOKUP(T20,$A$30:$F$48,5,FALSE),VLOOKUP(U20,$A$30:$F$48,6,FALSE))</x:f>
        <x:v>364500</x:v>
      </x:c>
      <x:c r="W20" s="24" t="n">
        <x:f>V20/$N$6</x:f>
        <x:v>0.11390625</x:v>
      </x:c>
      <x:c r="X20" s="18" t="n">
        <x:f>INDEX($I$6:$K$11,MATCH(O20,$H$6:$H$11,0),MATCH(P20&amp;"連線",$I$5:$K$5,0))</x:f>
        <x:v>10</x:v>
      </x:c>
      <x:c r="Y20" s="22" t="n">
        <x:f>W20*X20/$N$4</x:f>
        <x:v>0.022781250000000003</x:v>
      </x:c>
    </x:row>
    <x:row r="21">
      <x:c r="A21" s="19" t="n">
        <x:v>16</x:v>
      </x:c>
      <x:c r="B21" s="19" t="str">
        <x:v>9</x:v>
      </x:c>
      <x:c r="C21" s="19" t="str">
        <x:v>10</x:v>
      </x:c>
      <x:c r="D21" s="19" t="str">
        <x:v>10</x:v>
      </x:c>
      <x:c r="E21" s="19" t="str">
        <x:v>10</x:v>
      </x:c>
      <x:c r="F21" s="19" t="str">
        <x:v>10</x:v>
      </x:c>
      <x:c r="O21" s="18" t="str">
        <x:v>9</x:v>
      </x:c>
      <x:c r="P21" s="18" t="n">
        <x:v>3</x:v>
      </x:c>
      <x:c r="Q21" s="18" t="str">
        <x:v>W9</x:v>
      </x:c>
      <x:c r="R21" s="18" t="str">
        <x:v>W9</x:v>
      </x:c>
      <x:c r="S21" s="18" t="str">
        <x:v>W9</x:v>
      </x:c>
      <x:c r="T21" s="18" t="str">
        <x:v>X_W9</x:v>
      </x:c>
      <x:c r="U21" s="18" t="str">
        <x:v>-</x:v>
      </x:c>
      <x:c r="V21" s="21" t="n">
        <x:f>PRODUCT(VLOOKUP(Q21,$A$30:$F$48,2,FALSE),VLOOKUP(R21,$A$30:$F$48,3,FALSE),VLOOKUP(S21,$A$30:$F$48,4,FALSE),VLOOKUP(T21,$A$30:$F$48,5,FALSE),VLOOKUP(U21,$A$30:$F$48,6,FALSE))</x:f>
        <x:v>567000</x:v>
      </x:c>
      <x:c r="W21" s="24" t="n">
        <x:f>V21/$N$6</x:f>
        <x:v>0.1771875</x:v>
      </x:c>
      <x:c r="X21" s="18" t="n">
        <x:f>INDEX($I$6:$K$11,MATCH(O21,$H$6:$H$11,0),MATCH(P21&amp;"連線",$I$5:$K$5,0))</x:f>
        <x:v>5</x:v>
      </x:c>
      <x:c r="Y21" s="22" t="n">
        <x:f>W21*X21/$N$4</x:f>
        <x:v>0.017718750000000002</x:v>
      </x:c>
    </x:row>
    <x:row r="22">
      <x:c r="A22" s="19" t="n">
        <x:v>17</x:v>
      </x:c>
      <x:c r="B22" s="19" t="str">
        <x:v>9</x:v>
      </x:c>
      <x:c r="C22" s="19" t="str">
        <x:v>9</x:v>
      </x:c>
      <x:c r="D22" s="19" t="str">
        <x:v>9</x:v>
      </x:c>
      <x:c r="E22" s="19" t="str">
        <x:v>9</x:v>
      </x:c>
      <x:c r="F22" s="19" t="str">
        <x:v>9</x:v>
      </x:c>
    </x:row>
    <x:row r="23">
      <x:c r="A23" s="19" t="n">
        <x:v>18</x:v>
      </x:c>
      <x:c r="B23" s="19" t="str">
        <x:v>J</x:v>
      </x:c>
      <x:c r="C23" s="19" t="str">
        <x:v>J</x:v>
      </x:c>
      <x:c r="D23" s="19" t="str">
        <x:v>J</x:v>
      </x:c>
      <x:c r="E23" s="19" t="str">
        <x:v>J</x:v>
      </x:c>
      <x:c r="F23" s="19" t="str">
        <x:v>J</x:v>
      </x:c>
    </x:row>
    <x:row r="24">
      <x:c r="A24" s="19" t="n">
        <x:v>19</x:v>
      </x:c>
      <x:c r="B24" s="19" t="str">
        <x:v>10</x:v>
      </x:c>
      <x:c r="C24" s="19" t="str">
        <x:v>J</x:v>
      </x:c>
      <x:c r="D24" s="19" t="str">
        <x:v>10</x:v>
      </x:c>
      <x:c r="E24" s="19" t="str">
        <x:v>10</x:v>
      </x:c>
      <x:c r="F24" s="19" t="str">
        <x:v>10</x:v>
      </x:c>
    </x:row>
    <x:row r="25">
      <x:c r="A25" s="19" t="n">
        <x:v>20</x:v>
      </x:c>
      <x:c r="B25" s="19" t="str">
        <x:v>9</x:v>
      </x:c>
      <x:c r="C25" s="19" t="str">
        <x:v>9</x:v>
      </x:c>
      <x:c r="D25" s="19" t="str">
        <x:v>9</x:v>
      </x:c>
      <x:c r="E25" s="19" t="str">
        <x:v>9</x:v>
      </x:c>
      <x:c r="F25" s="19" t="str">
        <x:v>9</x:v>
      </x:c>
    </x:row>
    <x:row r="28">
      <x:c r="A28" s="10" t="str">
        <x:v>各圖案在轉輪表上出現的次數</x:v>
      </x:c>
      <x:c r="B28" s="10" t="str">
        <x:v>各圖案在轉輪表上出現的次數</x:v>
      </x:c>
      <x:c r="C28" s="10" t="str">
        <x:v>各圖案在轉輪表上出現的次數</x:v>
      </x:c>
      <x:c r="D28" s="10" t="str">
        <x:v>各圖案在轉輪表上出現的次數</x:v>
      </x:c>
      <x:c r="E28" s="10" t="str">
        <x:v>各圖案在轉輪表上出現的次數</x:v>
      </x:c>
      <x:c r="F28" s="10" t="str">
        <x:v>各圖案在轉輪表上出現的次數</x:v>
      </x:c>
    </x:row>
    <x:row r="29">
      <x:c r="A29" s="16" t="str">
        <x:v>圖案</x:v>
      </x:c>
      <x:c r="B29" s="16" t="str">
        <x:v>轉輪1</x:v>
      </x:c>
      <x:c r="C29" s="16" t="str">
        <x:v>轉輪2</x:v>
      </x:c>
      <x:c r="D29" s="16" t="str">
        <x:v>轉輪3</x:v>
      </x:c>
      <x:c r="E29" s="16" t="str">
        <x:v>轉輪4</x:v>
      </x:c>
      <x:c r="F29" s="16" t="str">
        <x:v>轉輪5</x:v>
      </x:c>
    </x:row>
    <x:row r="30">
      <x:c r="A30" s="18" t="str">
        <x:v>-</x:v>
      </x:c>
      <x:c r="B30" s="18" t="n">
        <x:f>COUNTA(B$6:B$25)</x:f>
        <x:v>20</x:v>
      </x:c>
      <x:c r="C30" s="18" t="n">
        <x:f>COUNTA(C$6:C$25)</x:f>
        <x:v>20</x:v>
      </x:c>
      <x:c r="D30" s="18" t="n">
        <x:f>COUNTA(D$6:D$25)</x:f>
        <x:v>20</x:v>
      </x:c>
      <x:c r="E30" s="18" t="n">
        <x:f>COUNTA(E$6:E$25)</x:f>
        <x:v>20</x:v>
      </x:c>
      <x:c r="F30" s="18" t="n">
        <x:f>COUNTA(F$6:F$25)</x:f>
        <x:v>20</x:v>
      </x:c>
    </x:row>
    <x:row r="31">
      <x:c r="A31" s="18" t="str">
        <x:v>W</x:v>
      </x:c>
      <x:c r="B31" s="18" t="n">
        <x:f>COUNTIF(B$6:B$25,$A31)</x:f>
        <x:v>0</x:v>
      </x:c>
      <x:c r="C31" s="18" t="n">
        <x:f>COUNTIF(C$6:C$25,$A31)</x:f>
        <x:v>1</x:v>
      </x:c>
      <x:c r="D31" s="18" t="n">
        <x:f>COUNTIF(D$6:D$25,$A31)</x:f>
        <x:v>1</x:v>
      </x:c>
      <x:c r="E31" s="18" t="n">
        <x:f>COUNTIF(E$6:E$25,$A31)</x:f>
        <x:v>1</x:v>
      </x:c>
      <x:c r="F31" s="18" t="n">
        <x:f>COUNTIF(F$6:F$25,$A31)</x:f>
        <x:v>1</x:v>
      </x:c>
    </x:row>
    <x:row r="32">
      <x:c r="A32" s="18" t="str">
        <x:v>K</x:v>
      </x:c>
      <x:c r="B32" s="18" t="n">
        <x:f>COUNTIF(B$6:B$25,$A32)</x:f>
        <x:v>2</x:v>
      </x:c>
      <x:c r="C32" s="18" t="n">
        <x:f>COUNTIF(C$6:C$25,$A32)</x:f>
        <x:v>3</x:v>
      </x:c>
      <x:c r="D32" s="18" t="n">
        <x:f>COUNTIF(D$6:D$25,$A32)</x:f>
        <x:v>3</x:v>
      </x:c>
      <x:c r="E32" s="18" t="n">
        <x:f>COUNTIF(E$6:E$25,$A32)</x:f>
        <x:v>3</x:v>
      </x:c>
      <x:c r="F32" s="18" t="n">
        <x:f>COUNTIF(F$6:F$25,$A32)</x:f>
        <x:v>3</x:v>
      </x:c>
    </x:row>
    <x:row r="33">
      <x:c r="A33" s="18" t="str">
        <x:v>Q</x:v>
      </x:c>
      <x:c r="B33" s="18" t="n">
        <x:f>COUNTIF(B$6:B$25,$A33)</x:f>
        <x:v>3</x:v>
      </x:c>
      <x:c r="C33" s="18" t="n">
        <x:f>COUNTIF(C$6:C$25,$A33)</x:f>
        <x:v>3</x:v>
      </x:c>
      <x:c r="D33" s="18" t="n">
        <x:f>COUNTIF(D$6:D$25,$A33)</x:f>
        <x:v>3</x:v>
      </x:c>
      <x:c r="E33" s="18" t="n">
        <x:f>COUNTIF(E$6:E$25,$A33)</x:f>
        <x:v>3</x:v>
      </x:c>
      <x:c r="F33" s="18" t="n">
        <x:f>COUNTIF(F$6:F$25,$A33)</x:f>
        <x:v>3</x:v>
      </x:c>
    </x:row>
    <x:row r="34">
      <x:c r="A34" s="18" t="str">
        <x:v>J</x:v>
      </x:c>
      <x:c r="B34" s="18" t="n">
        <x:f>COUNTIF(B$6:B$25,$A34)</x:f>
        <x:v>4</x:v>
      </x:c>
      <x:c r="C34" s="18" t="n">
        <x:f>COUNTIF(C$6:C$25,$A34)</x:f>
        <x:v>5</x:v>
      </x:c>
      <x:c r="D34" s="18" t="n">
        <x:f>COUNTIF(D$6:D$25,$A34)</x:f>
        <x:v>4</x:v>
      </x:c>
      <x:c r="E34" s="18" t="n">
        <x:f>COUNTIF(E$6:E$25,$A34)</x:f>
        <x:v>4</x:v>
      </x:c>
      <x:c r="F34" s="18" t="n">
        <x:f>COUNTIF(F$6:F$25,$A34)</x:f>
        <x:v>4</x:v>
      </x:c>
    </x:row>
    <x:row r="35">
      <x:c r="A35" s="18" t="str">
        <x:v>10</x:v>
      </x:c>
      <x:c r="B35" s="18" t="n">
        <x:f>COUNTIF(B$6:B$25,$A35)</x:f>
        <x:v>5</x:v>
      </x:c>
      <x:c r="C35" s="18" t="n">
        <x:f>COUNTIF(C$6:C$25,$A35)</x:f>
        <x:v>3</x:v>
      </x:c>
      <x:c r="D35" s="18" t="n">
        <x:f>COUNTIF(D$6:D$25,$A35)</x:f>
        <x:v>4</x:v>
      </x:c>
      <x:c r="E35" s="18" t="n">
        <x:f>COUNTIF(E$6:E$25,$A35)</x:f>
        <x:v>4</x:v>
      </x:c>
      <x:c r="F35" s="18" t="n">
        <x:f>COUNTIF(F$6:F$25,$A35)</x:f>
        <x:v>4</x:v>
      </x:c>
    </x:row>
    <x:row r="36">
      <x:c r="A36" s="18" t="str">
        <x:v>9</x:v>
      </x:c>
      <x:c r="B36" s="18" t="n">
        <x:f>COUNTIF(B$6:B$25,$A36)</x:f>
        <x:v>6</x:v>
      </x:c>
      <x:c r="C36" s="18" t="n">
        <x:f>COUNTIF(C$6:C$25,$A36)</x:f>
        <x:v>4</x:v>
      </x:c>
      <x:c r="D36" s="18" t="n">
        <x:f>COUNTIF(D$6:D$25,$A36)</x:f>
        <x:v>4</x:v>
      </x:c>
      <x:c r="E36" s="18" t="n">
        <x:f>COUNTIF(E$6:E$25,$A36)</x:f>
        <x:v>4</x:v>
      </x:c>
      <x:c r="F36" s="18" t="n">
        <x:f>COUNTIF(F$6:F$25,$A36)</x:f>
        <x:v>5</x:v>
      </x:c>
    </x:row>
    <x:row r="37">
      <x:c r="A37" s="18" t="str">
        <x:v>S</x:v>
      </x:c>
      <x:c r="B37" s="18" t="n">
        <x:f>COUNTIF(B$6:B$25,$A37)</x:f>
        <x:v>0</x:v>
      </x:c>
      <x:c r="C37" s="18" t="n">
        <x:f>COUNTIF(C$6:C$25,$A37)</x:f>
        <x:v>1</x:v>
      </x:c>
      <x:c r="D37" s="18" t="n">
        <x:f>COUNTIF(D$6:D$25,$A37)</x:f>
        <x:v>1</x:v>
      </x:c>
      <x:c r="E37" s="18" t="n">
        <x:f>COUNTIF(E$6:E$25,$A37)</x:f>
        <x:v>1</x:v>
      </x:c>
      <x:c r="F37" s="18" t="n">
        <x:f>COUNTIF(F$6:F$25,$A37)</x:f>
        <x:v>0</x:v>
      </x:c>
    </x:row>
    <x:row r="38">
      <x:c r="A38" s="18" t="str">
        <x:v>3S</x:v>
      </x:c>
      <x:c r="B38" s="18" t="n">
        <x:f>B37*$N$5</x:f>
        <x:v>0</x:v>
      </x:c>
      <x:c r="C38" s="18" t="n">
        <x:f>C37*$N$5</x:f>
        <x:v>3</x:v>
      </x:c>
      <x:c r="D38" s="18" t="n">
        <x:f>D37*$N$5</x:f>
        <x:v>3</x:v>
      </x:c>
      <x:c r="E38" s="18" t="n">
        <x:f>E37*$N$5</x:f>
        <x:v>3</x:v>
      </x:c>
      <x:c r="F38" s="18" t="n">
        <x:f>F37*$N$5</x:f>
        <x:v>0</x:v>
      </x:c>
    </x:row>
    <x:row r="39">
      <x:c r="A39" s="18" t="str">
        <x:v>WK</x:v>
      </x:c>
      <x:c r="B39" s="18" t="n">
        <x:f>(B31+B32)*$N$5</x:f>
        <x:v>6</x:v>
      </x:c>
      <x:c r="C39" s="18" t="n">
        <x:f>(C31+C32)*$N$5</x:f>
        <x:v>12</x:v>
      </x:c>
      <x:c r="D39" s="18" t="n">
        <x:f>(D31+D32)*$N$5</x:f>
        <x:v>12</x:v>
      </x:c>
      <x:c r="E39" s="18" t="n">
        <x:f>(E31+E32)*$N$5</x:f>
        <x:v>12</x:v>
      </x:c>
      <x:c r="F39" s="18" t="n">
        <x:f>(F31+F32)*$N$5</x:f>
        <x:v>12</x:v>
      </x:c>
    </x:row>
    <x:row r="40">
      <x:c r="A40" s="18" t="str">
        <x:v>WQ</x:v>
      </x:c>
      <x:c r="B40" s="18" t="n">
        <x:f>(B31+B33)*$N$5</x:f>
        <x:v>9</x:v>
      </x:c>
      <x:c r="C40" s="18" t="n">
        <x:f>(C31+C33)*$N$5</x:f>
        <x:v>12</x:v>
      </x:c>
      <x:c r="D40" s="18" t="n">
        <x:f>(D31+D33)*$N$5</x:f>
        <x:v>12</x:v>
      </x:c>
      <x:c r="E40" s="18" t="n">
        <x:f>(E31+E33)*$N$5</x:f>
        <x:v>12</x:v>
      </x:c>
      <x:c r="F40" s="18" t="n">
        <x:f>(F31+F33)*$N$5</x:f>
        <x:v>12</x:v>
      </x:c>
    </x:row>
    <x:row r="41">
      <x:c r="A41" s="18" t="str">
        <x:v>WJ</x:v>
      </x:c>
      <x:c r="B41" s="18" t="n">
        <x:f>(B31+B34)*$N$5</x:f>
        <x:v>12</x:v>
      </x:c>
      <x:c r="C41" s="18" t="n">
        <x:f>(C31+C34)*$N$5</x:f>
        <x:v>18</x:v>
      </x:c>
      <x:c r="D41" s="18" t="n">
        <x:f>(D31+D34)*$N$5</x:f>
        <x:v>15</x:v>
      </x:c>
      <x:c r="E41" s="18" t="n">
        <x:f>(E31+E34)*$N$5</x:f>
        <x:v>15</x:v>
      </x:c>
      <x:c r="F41" s="18" t="n">
        <x:f>(F31+F34)*$N$5</x:f>
        <x:v>15</x:v>
      </x:c>
    </x:row>
    <x:row r="42">
      <x:c r="A42" s="18" t="str">
        <x:v>W10</x:v>
      </x:c>
      <x:c r="B42" s="18" t="n">
        <x:f>(B31+B35)*$N$5</x:f>
        <x:v>15</x:v>
      </x:c>
      <x:c r="C42" s="18" t="n">
        <x:f>(C31+C35)*$N$5</x:f>
        <x:v>12</x:v>
      </x:c>
      <x:c r="D42" s="18" t="n">
        <x:f>(D31+D35)*$N$5</x:f>
        <x:v>15</x:v>
      </x:c>
      <x:c r="E42" s="18" t="n">
        <x:f>(E31+E35)*$N$5</x:f>
        <x:v>15</x:v>
      </x:c>
      <x:c r="F42" s="18" t="n">
        <x:f>(F31+F35)*$N$5</x:f>
        <x:v>15</x:v>
      </x:c>
    </x:row>
    <x:row r="43">
      <x:c r="A43" s="18" t="str">
        <x:v>W9</x:v>
      </x:c>
      <x:c r="B43" s="18" t="n">
        <x:f>(B31+B36)*$N$5</x:f>
        <x:v>18</x:v>
      </x:c>
      <x:c r="C43" s="18" t="n">
        <x:f>(C31+C36)*$N$5</x:f>
        <x:v>15</x:v>
      </x:c>
      <x:c r="D43" s="18" t="n">
        <x:f>(D31+D36)*$N$5</x:f>
        <x:v>15</x:v>
      </x:c>
      <x:c r="E43" s="18" t="n">
        <x:f>(E31+E36)*$N$5</x:f>
        <x:v>15</x:v>
      </x:c>
      <x:c r="F43" s="18" t="n">
        <x:f>(F31+F36)*$N$5</x:f>
        <x:v>18</x:v>
      </x:c>
    </x:row>
    <x:row r="44">
      <x:c r="A44" s="18" t="str">
        <x:v>X_WK</x:v>
      </x:c>
      <x:c r="B44" s="18" t="n">
        <x:f>COUNTIF(I54:I73,0)</x:f>
        <x:v>14</x:v>
      </x:c>
      <x:c r="C44" s="18" t="n">
        <x:f>COUNTIF(J54:J73,0)</x:f>
        <x:v>10</x:v>
      </x:c>
      <x:c r="D44" s="18" t="n">
        <x:f>COUNTIF(K54:K73,0)</x:f>
        <x:v>10</x:v>
      </x:c>
      <x:c r="E44" s="18" t="n">
        <x:f>COUNTIF(L54:L73,0)</x:f>
        <x:v>10</x:v>
      </x:c>
      <x:c r="F44" s="18" t="n">
        <x:f>COUNTIF(M54:M73,0)</x:f>
        <x:v>10</x:v>
      </x:c>
    </x:row>
    <x:row r="45">
      <x:c r="A45" s="18" t="str">
        <x:v>X_WQ</x:v>
      </x:c>
      <x:c r="B45" s="18" t="n">
        <x:f>COUNTIF(I76:I95,0)</x:f>
        <x:v>11</x:v>
      </x:c>
      <x:c r="C45" s="18" t="n">
        <x:f>COUNTIF(J76:J95,0)</x:f>
        <x:v>9</x:v>
      </x:c>
      <x:c r="D45" s="18" t="n">
        <x:f>COUNTIF(K76:K95,0)</x:f>
        <x:v>9</x:v>
      </x:c>
      <x:c r="E45" s="18" t="n">
        <x:f>COUNTIF(L76:L95,0)</x:f>
        <x:v>9</x:v>
      </x:c>
      <x:c r="F45" s="18" t="n">
        <x:f>COUNTIF(M76:M95,0)</x:f>
        <x:v>9</x:v>
      </x:c>
    </x:row>
    <x:row r="46">
      <x:c r="A46" s="18" t="str">
        <x:v>X_WJ</x:v>
      </x:c>
      <x:c r="B46" s="18" t="n">
        <x:f>COUNTIF(I98:I117,0)</x:f>
        <x:v>8</x:v>
      </x:c>
      <x:c r="C46" s="18" t="n">
        <x:f>COUNTIF(J98:J117,0)</x:f>
        <x:v>5</x:v>
      </x:c>
      <x:c r="D46" s="18" t="n">
        <x:f>COUNTIF(K98:K117,0)</x:f>
        <x:v>5</x:v>
      </x:c>
      <x:c r="E46" s="18" t="n">
        <x:f>COUNTIF(L98:L117,0)</x:f>
        <x:v>5</x:v>
      </x:c>
      <x:c r="F46" s="18" t="n">
        <x:f>COUNTIF(M98:M117,0)</x:f>
        <x:v>5</x:v>
      </x:c>
    </x:row>
    <x:row r="47">
      <x:c r="A47" s="18" t="str">
        <x:v>X_W10</x:v>
      </x:c>
      <x:c r="B47" s="18" t="n">
        <x:f>COUNTIF(I120:I139,0)</x:f>
        <x:v>6</x:v>
      </x:c>
      <x:c r="C47" s="18" t="n">
        <x:f>COUNTIF(J120:J139,0)</x:f>
        <x:v>8</x:v>
      </x:c>
      <x:c r="D47" s="18" t="n">
        <x:f>COUNTIF(K120:K139,0)</x:f>
        <x:v>6</x:v>
      </x:c>
      <x:c r="E47" s="18" t="n">
        <x:f>COUNTIF(L120:L139,0)</x:f>
        <x:v>6</x:v>
      </x:c>
      <x:c r="F47" s="18" t="n">
        <x:f>COUNTIF(M120:M139,0)</x:f>
        <x:v>6</x:v>
      </x:c>
    </x:row>
    <x:row r="48">
      <x:c r="A48" s="18" t="str">
        <x:v>X_W9</x:v>
      </x:c>
      <x:c r="B48" s="18" t="n">
        <x:f>COUNTIF(I142:I161,0)</x:f>
        <x:v>6</x:v>
      </x:c>
      <x:c r="C48" s="18" t="n">
        <x:f>COUNTIF(J142:J161,0)</x:f>
        <x:v>7</x:v>
      </x:c>
      <x:c r="D48" s="18" t="n">
        <x:f>COUNTIF(K142:K161,0)</x:f>
        <x:v>7</x:v>
      </x:c>
      <x:c r="E48" s="18" t="n">
        <x:f>COUNTIF(L142:L161,0)</x:f>
        <x:v>7</x:v>
      </x:c>
      <x:c r="F48" s="18" t="n">
        <x:f>COUNTIF(M142:M161,0)</x:f>
        <x:v>6</x:v>
      </x:c>
    </x:row>
    <x:row r="51">
      <x:c r="A51" s="10" t="str">
        <x:v>視窗檢查輔助：輪帶補上最上方兩格</x:v>
      </x:c>
      <x:c r="B51" s="10" t="str">
        <x:v>視窗檢查輔助：輪帶補上最上方兩格</x:v>
      </x:c>
      <x:c r="C51" s="10" t="str">
        <x:v>視窗檢查輔助：輪帶補上最上方兩格</x:v>
      </x:c>
      <x:c r="D51" s="10" t="str">
        <x:v>視窗檢查輔助：輪帶補上最上方兩格</x:v>
      </x:c>
      <x:c r="E51" s="10" t="str">
        <x:v>視窗檢查輔助：輪帶補上最上方兩格</x:v>
      </x:c>
      <x:c r="F51" s="10" t="str">
        <x:v>視窗檢查輔助：輪帶補上最上方兩格</x:v>
      </x:c>
    </x:row>
    <x:row r="52">
      <x:c r="A52" s="16" t="str">
        <x:v>位置</x:v>
      </x:c>
      <x:c r="B52" s="16" t="str">
        <x:v>轉輪1</x:v>
      </x:c>
      <x:c r="C52" s="16" t="str">
        <x:v>轉輪2</x:v>
      </x:c>
      <x:c r="D52" s="16" t="str">
        <x:v>轉輪3</x:v>
      </x:c>
      <x:c r="E52" s="16" t="str">
        <x:v>轉輪4</x:v>
      </x:c>
      <x:c r="F52" s="16" t="str">
        <x:v>轉輪5</x:v>
      </x:c>
      <x:c r="H52" s="23" t="str">
        <x:v>X_WK 判斷表</x:v>
      </x:c>
      <x:c r="I52" s="23" t="str">
        <x:v>X_WK 判斷表</x:v>
      </x:c>
      <x:c r="J52" s="23" t="str">
        <x:v>X_WK 判斷表</x:v>
      </x:c>
      <x:c r="K52" s="23" t="str">
        <x:v>X_WK 判斷表</x:v>
      </x:c>
      <x:c r="L52" s="23" t="str">
        <x:v>X_WK 判斷表</x:v>
      </x:c>
      <x:c r="M52" s="23" t="str">
        <x:v>X_WK 判斷表</x:v>
      </x:c>
      <x:c r="N52" s="23" t="str">
        <x:v>X_WK 判斷表</x:v>
      </x:c>
    </x:row>
    <x:row r="53">
      <x:c r="A53" s="18" t="n">
        <x:f>MOD(ROW(A53)-ROW($A$53),20)+1</x:f>
        <x:v>1</x:v>
      </x:c>
      <x:c r="B53" s="18" t="str">
        <x:f>INDEX(B$6:B$25,$A53)</x:f>
        <x:v>K</x:v>
      </x:c>
      <x:c r="C53" s="18" t="str">
        <x:f>INDEX(C$6:C$25,$A53)</x:f>
        <x:v>W</x:v>
      </x:c>
      <x:c r="D53" s="18" t="str">
        <x:f>INDEX(D$6:D$25,$A53)</x:f>
        <x:v>W</x:v>
      </x:c>
      <x:c r="E53" s="18" t="str">
        <x:f>INDEX(E$6:E$25,$A53)</x:f>
        <x:v>W</x:v>
      </x:c>
      <x:c r="F53" s="18" t="str">
        <x:f>INDEX(F$6:F$25,$A53)</x:f>
        <x:v>W</x:v>
      </x:c>
      <x:c r="H53" s="16" t="str">
        <x:v>stop</x:v>
      </x:c>
      <x:c r="I53" s="16" t="str">
        <x:v>轉輪1</x:v>
      </x:c>
      <x:c r="J53" s="16" t="str">
        <x:v>轉輪2</x:v>
      </x:c>
      <x:c r="K53" s="16" t="str">
        <x:v>轉輪3</x:v>
      </x:c>
      <x:c r="L53" s="16" t="str">
        <x:v>轉輪4</x:v>
      </x:c>
      <x:c r="M53" s="16" t="str">
        <x:v>轉輪5</x:v>
      </x:c>
      <x:c r="N53" s="16" t="str">
        <x:v>判斷</x:v>
      </x:c>
    </x:row>
    <x:row r="54">
      <x:c r="A54" s="18" t="n">
        <x:f>MOD(ROW(A54)-ROW($A$53),20)+1</x:f>
        <x:v>2</x:v>
      </x:c>
      <x:c r="B54" s="18" t="str">
        <x:f>INDEX(B$6:B$25,$A54)</x:f>
        <x:v>Q</x:v>
      </x:c>
      <x:c r="C54" s="18" t="str">
        <x:f>INDEX(C$6:C$25,$A54)</x:f>
        <x:v>K</x:v>
      </x:c>
      <x:c r="D54" s="18" t="str">
        <x:f>INDEX(D$6:D$25,$A54)</x:f>
        <x:v>K</x:v>
      </x:c>
      <x:c r="E54" s="18" t="str">
        <x:f>INDEX(E$6:E$25,$A54)</x:f>
        <x:v>K</x:v>
      </x:c>
      <x:c r="F54" s="18" t="str">
        <x:f>INDEX(F$6:F$25,$A54)</x:f>
        <x:v>K</x:v>
      </x:c>
      <x:c r="H54" s="18" t="n">
        <x:f>A53</x:f>
        <x:v>1</x:v>
      </x:c>
      <x:c r="I54" s="18" t="n">
        <x:f>IF(COUNTIF(B53:B55,"W")+COUNTIF(B53:B55,"K")&gt;0,1,0)</x:f>
        <x:v>1</x:v>
      </x:c>
      <x:c r="J54" s="18" t="n">
        <x:f>IF(COUNTIF(C53:C55,"W")+COUNTIF(C53:C55,"K")&gt;0,1,0)</x:f>
        <x:v>1</x:v>
      </x:c>
      <x:c r="K54" s="18" t="n">
        <x:f>IF(COUNTIF(D53:D55,"W")+COUNTIF(D53:D55,"K")&gt;0,1,0)</x:f>
        <x:v>1</x:v>
      </x:c>
      <x:c r="L54" s="18" t="n">
        <x:f>IF(COUNTIF(E53:E55,"W")+COUNTIF(E53:E55,"K")&gt;0,1,0)</x:f>
        <x:v>1</x:v>
      </x:c>
      <x:c r="M54" s="18" t="n">
        <x:f>IF(COUNTIF(F53:F55,"W")+COUNTIF(F53:F55,"K")&gt;0,1,0)</x:f>
        <x:v>1</x:v>
      </x:c>
      <x:c r="N54" s="18" t="str">
        <x:v>1=有W/圖案, 0=沒有</x:v>
      </x:c>
    </x:row>
    <x:row r="55">
      <x:c r="A55" s="18" t="n">
        <x:f>MOD(ROW(A55)-ROW($A$53),20)+1</x:f>
        <x:v>3</x:v>
      </x:c>
      <x:c r="B55" s="18" t="str">
        <x:f>INDEX(B$6:B$25,$A55)</x:f>
        <x:v>J</x:v>
      </x:c>
      <x:c r="C55" s="18" t="str">
        <x:f>INDEX(C$6:C$25,$A55)</x:f>
        <x:v>Q</x:v>
      </x:c>
      <x:c r="D55" s="18" t="str">
        <x:f>INDEX(D$6:D$25,$A55)</x:f>
        <x:v>Q</x:v>
      </x:c>
      <x:c r="E55" s="18" t="str">
        <x:f>INDEX(E$6:E$25,$A55)</x:f>
        <x:v>Q</x:v>
      </x:c>
      <x:c r="F55" s="18" t="str">
        <x:f>INDEX(F$6:F$25,$A55)</x:f>
        <x:v>Q</x:v>
      </x:c>
      <x:c r="H55" s="18" t="n">
        <x:f>A54</x:f>
        <x:v>2</x:v>
      </x:c>
      <x:c r="I55" s="18" t="n">
        <x:f>IF(COUNTIF(B54:B56,"W")+COUNTIF(B54:B56,"K")&gt;0,1,0)</x:f>
        <x:v>0</x:v>
      </x:c>
      <x:c r="J55" s="18" t="n">
        <x:f>IF(COUNTIF(C54:C56,"W")+COUNTIF(C54:C56,"K")&gt;0,1,0)</x:f>
        <x:v>1</x:v>
      </x:c>
      <x:c r="K55" s="18" t="n">
        <x:f>IF(COUNTIF(D54:D56,"W")+COUNTIF(D54:D56,"K")&gt;0,1,0)</x:f>
        <x:v>1</x:v>
      </x:c>
      <x:c r="L55" s="18" t="n">
        <x:f>IF(COUNTIF(E54:E56,"W")+COUNTIF(E54:E56,"K")&gt;0,1,0)</x:f>
        <x:v>1</x:v>
      </x:c>
      <x:c r="M55" s="18" t="n">
        <x:f>IF(COUNTIF(F54:F56,"W")+COUNTIF(F54:F56,"K")&gt;0,1,0)</x:f>
        <x:v>1</x:v>
      </x:c>
      <x:c r="N55" s="18" t="str">
        <x:v>1=有W/圖案, 0=沒有</x:v>
      </x:c>
    </x:row>
    <x:row r="56">
      <x:c r="A56" s="18" t="n">
        <x:f>MOD(ROW(A56)-ROW($A$53),20)+1</x:f>
        <x:v>4</x:v>
      </x:c>
      <x:c r="B56" s="18" t="n">
        <x:f>INDEX(B$6:B$25,$A56)</x:f>
        <x:v>10</x:v>
      </x:c>
      <x:c r="C56" s="18" t="str">
        <x:f>INDEX(C$6:C$25,$A56)</x:f>
        <x:v>J</x:v>
      </x:c>
      <x:c r="D56" s="18" t="str">
        <x:f>INDEX(D$6:D$25,$A56)</x:f>
        <x:v>J</x:v>
      </x:c>
      <x:c r="E56" s="18" t="str">
        <x:f>INDEX(E$6:E$25,$A56)</x:f>
        <x:v>J</x:v>
      </x:c>
      <x:c r="F56" s="18" t="str">
        <x:f>INDEX(F$6:F$25,$A56)</x:f>
        <x:v>J</x:v>
      </x:c>
      <x:c r="H56" s="18" t="n">
        <x:f>A55</x:f>
        <x:v>3</x:v>
      </x:c>
      <x:c r="I56" s="18" t="n">
        <x:f>IF(COUNTIF(B55:B57,"W")+COUNTIF(B55:B57,"K")&gt;0,1,0)</x:f>
        <x:v>0</x:v>
      </x:c>
      <x:c r="J56" s="18" t="n">
        <x:f>IF(COUNTIF(C55:C57,"W")+COUNTIF(C55:C57,"K")&gt;0,1,0)</x:f>
        <x:v>0</x:v>
      </x:c>
      <x:c r="K56" s="18" t="n">
        <x:f>IF(COUNTIF(D55:D57,"W")+COUNTIF(D55:D57,"K")&gt;0,1,0)</x:f>
        <x:v>0</x:v>
      </x:c>
      <x:c r="L56" s="18" t="n">
        <x:f>IF(COUNTIF(E55:E57,"W")+COUNTIF(E55:E57,"K")&gt;0,1,0)</x:f>
        <x:v>0</x:v>
      </x:c>
      <x:c r="M56" s="18" t="n">
        <x:f>IF(COUNTIF(F55:F57,"W")+COUNTIF(F55:F57,"K")&gt;0,1,0)</x:f>
        <x:v>0</x:v>
      </x:c>
      <x:c r="N56" s="18" t="str">
        <x:v>1=有W/圖案, 0=沒有</x:v>
      </x:c>
    </x:row>
    <x:row r="57">
      <x:c r="A57" s="18" t="n">
        <x:f>MOD(ROW(A57)-ROW($A$53),20)+1</x:f>
        <x:v>5</x:v>
      </x:c>
      <x:c r="B57" s="18" t="n">
        <x:f>INDEX(B$6:B$25,$A57)</x:f>
        <x:v>9</x:v>
      </x:c>
      <x:c r="C57" s="18" t="n">
        <x:f>INDEX(C$6:C$25,$A57)</x:f>
        <x:v>10</x:v>
      </x:c>
      <x:c r="D57" s="18" t="n">
        <x:f>INDEX(D$6:D$25,$A57)</x:f>
        <x:v>10</x:v>
      </x:c>
      <x:c r="E57" s="18" t="n">
        <x:f>INDEX(E$6:E$25,$A57)</x:f>
        <x:v>10</x:v>
      </x:c>
      <x:c r="F57" s="18" t="n">
        <x:f>INDEX(F$6:F$25,$A57)</x:f>
        <x:v>10</x:v>
      </x:c>
      <x:c r="H57" s="18" t="n">
        <x:f>A56</x:f>
        <x:v>4</x:v>
      </x:c>
      <x:c r="I57" s="18" t="n">
        <x:f>IF(COUNTIF(B56:B58,"W")+COUNTIF(B56:B58,"K")&gt;0,1,0)</x:f>
        <x:v>0</x:v>
      </x:c>
      <x:c r="J57" s="18" t="n">
        <x:f>IF(COUNTIF(C56:C58,"W")+COUNTIF(C56:C58,"K")&gt;0,1,0)</x:f>
        <x:v>0</x:v>
      </x:c>
      <x:c r="K57" s="18" t="n">
        <x:f>IF(COUNTIF(D56:D58,"W")+COUNTIF(D56:D58,"K")&gt;0,1,0)</x:f>
        <x:v>0</x:v>
      </x:c>
      <x:c r="L57" s="18" t="n">
        <x:f>IF(COUNTIF(E56:E58,"W")+COUNTIF(E56:E58,"K")&gt;0,1,0)</x:f>
        <x:v>0</x:v>
      </x:c>
      <x:c r="M57" s="18" t="n">
        <x:f>IF(COUNTIF(F56:F58,"W")+COUNTIF(F56:F58,"K")&gt;0,1,0)</x:f>
        <x:v>0</x:v>
      </x:c>
      <x:c r="N57" s="18" t="str">
        <x:v>1=有W/圖案, 0=沒有</x:v>
      </x:c>
    </x:row>
    <x:row r="58">
      <x:c r="A58" s="18" t="n">
        <x:f>MOD(ROW(A58)-ROW($A$53),20)+1</x:f>
        <x:v>6</x:v>
      </x:c>
      <x:c r="B58" s="18" t="n">
        <x:f>INDEX(B$6:B$25,$A58)</x:f>
        <x:v>9</x:v>
      </x:c>
      <x:c r="C58" s="18" t="n">
        <x:f>INDEX(C$6:C$25,$A58)</x:f>
        <x:v>9</x:v>
      </x:c>
      <x:c r="D58" s="18" t="n">
        <x:f>INDEX(D$6:D$25,$A58)</x:f>
        <x:v>9</x:v>
      </x:c>
      <x:c r="E58" s="18" t="n">
        <x:f>INDEX(E$6:E$25,$A58)</x:f>
        <x:v>9</x:v>
      </x:c>
      <x:c r="F58" s="18" t="n">
        <x:f>INDEX(F$6:F$25,$A58)</x:f>
        <x:v>9</x:v>
      </x:c>
      <x:c r="H58" s="18" t="n">
        <x:f>A57</x:f>
        <x:v>5</x:v>
      </x:c>
      <x:c r="I58" s="18" t="n">
        <x:f>IF(COUNTIF(B57:B59,"W")+COUNTIF(B57:B59,"K")&gt;0,1,0)</x:f>
        <x:v>1</x:v>
      </x:c>
      <x:c r="J58" s="18" t="n">
        <x:f>IF(COUNTIF(C57:C59,"W")+COUNTIF(C57:C59,"K")&gt;0,1,0)</x:f>
        <x:v>0</x:v>
      </x:c>
      <x:c r="K58" s="18" t="n">
        <x:f>IF(COUNTIF(D57:D59,"W")+COUNTIF(D57:D59,"K")&gt;0,1,0)</x:f>
        <x:v>0</x:v>
      </x:c>
      <x:c r="L58" s="18" t="n">
        <x:f>IF(COUNTIF(E57:E59,"W")+COUNTIF(E57:E59,"K")&gt;0,1,0)</x:f>
        <x:v>0</x:v>
      </x:c>
      <x:c r="M58" s="18" t="n">
        <x:f>IF(COUNTIF(F57:F59,"W")+COUNTIF(F57:F59,"K")&gt;0,1,0)</x:f>
        <x:v>0</x:v>
      </x:c>
      <x:c r="N58" s="18" t="str">
        <x:v>1=有W/圖案, 0=沒有</x:v>
      </x:c>
    </x:row>
    <x:row r="59">
      <x:c r="A59" s="18" t="n">
        <x:f>MOD(ROW(A59)-ROW($A$53),20)+1</x:f>
        <x:v>7</x:v>
      </x:c>
      <x:c r="B59" s="18" t="str">
        <x:f>INDEX(B$6:B$25,$A59)</x:f>
        <x:v>K</x:v>
      </x:c>
      <x:c r="C59" s="18" t="str">
        <x:f>INDEX(C$6:C$25,$A59)</x:f>
        <x:v>S</x:v>
      </x:c>
      <x:c r="D59" s="18" t="str">
        <x:f>INDEX(D$6:D$25,$A59)</x:f>
        <x:v>S</x:v>
      </x:c>
      <x:c r="E59" s="18" t="str">
        <x:f>INDEX(E$6:E$25,$A59)</x:f>
        <x:v>S</x:v>
      </x:c>
      <x:c r="F59" s="18" t="n">
        <x:f>INDEX(F$6:F$25,$A59)</x:f>
        <x:v>9</x:v>
      </x:c>
      <x:c r="H59" s="18" t="n">
        <x:f>A58</x:f>
        <x:v>6</x:v>
      </x:c>
      <x:c r="I59" s="18" t="n">
        <x:f>IF(COUNTIF(B58:B60,"W")+COUNTIF(B58:B60,"K")&gt;0,1,0)</x:f>
        <x:v>1</x:v>
      </x:c>
      <x:c r="J59" s="18" t="n">
        <x:f>IF(COUNTIF(C58:C60,"W")+COUNTIF(C58:C60,"K")&gt;0,1,0)</x:f>
        <x:v>1</x:v>
      </x:c>
      <x:c r="K59" s="18" t="n">
        <x:f>IF(COUNTIF(D58:D60,"W")+COUNTIF(D58:D60,"K")&gt;0,1,0)</x:f>
        <x:v>1</x:v>
      </x:c>
      <x:c r="L59" s="18" t="n">
        <x:f>IF(COUNTIF(E58:E60,"W")+COUNTIF(E58:E60,"K")&gt;0,1,0)</x:f>
        <x:v>1</x:v>
      </x:c>
      <x:c r="M59" s="18" t="n">
        <x:f>IF(COUNTIF(F58:F60,"W")+COUNTIF(F58:F60,"K")&gt;0,1,0)</x:f>
        <x:v>1</x:v>
      </x:c>
      <x:c r="N59" s="18" t="str">
        <x:v>1=有W/圖案, 0=沒有</x:v>
      </x:c>
    </x:row>
    <x:row r="60">
      <x:c r="A60" s="18" t="n">
        <x:f>MOD(ROW(A60)-ROW($A$53),20)+1</x:f>
        <x:v>8</x:v>
      </x:c>
      <x:c r="B60" s="18" t="str">
        <x:f>INDEX(B$6:B$25,$A60)</x:f>
        <x:v>Q</x:v>
      </x:c>
      <x:c r="C60" s="18" t="str">
        <x:f>INDEX(C$6:C$25,$A60)</x:f>
        <x:v>K</x:v>
      </x:c>
      <x:c r="D60" s="18" t="str">
        <x:f>INDEX(D$6:D$25,$A60)</x:f>
        <x:v>K</x:v>
      </x:c>
      <x:c r="E60" s="18" t="str">
        <x:f>INDEX(E$6:E$25,$A60)</x:f>
        <x:v>K</x:v>
      </x:c>
      <x:c r="F60" s="18" t="str">
        <x:f>INDEX(F$6:F$25,$A60)</x:f>
        <x:v>K</x:v>
      </x:c>
      <x:c r="H60" s="18" t="n">
        <x:f>A59</x:f>
        <x:v>7</x:v>
      </x:c>
      <x:c r="I60" s="18" t="n">
        <x:f>IF(COUNTIF(B59:B61,"W")+COUNTIF(B59:B61,"K")&gt;0,1,0)</x:f>
        <x:v>1</x:v>
      </x:c>
      <x:c r="J60" s="18" t="n">
        <x:f>IF(COUNTIF(C59:C61,"W")+COUNTIF(C59:C61,"K")&gt;0,1,0)</x:f>
        <x:v>1</x:v>
      </x:c>
      <x:c r="K60" s="18" t="n">
        <x:f>IF(COUNTIF(D59:D61,"W")+COUNTIF(D59:D61,"K")&gt;0,1,0)</x:f>
        <x:v>1</x:v>
      </x:c>
      <x:c r="L60" s="18" t="n">
        <x:f>IF(COUNTIF(E59:E61,"W")+COUNTIF(E59:E61,"K")&gt;0,1,0)</x:f>
        <x:v>1</x:v>
      </x:c>
      <x:c r="M60" s="18" t="n">
        <x:f>IF(COUNTIF(F59:F61,"W")+COUNTIF(F59:F61,"K")&gt;0,1,0)</x:f>
        <x:v>1</x:v>
      </x:c>
      <x:c r="N60" s="18" t="str">
        <x:v>1=有W/圖案, 0=沒有</x:v>
      </x:c>
    </x:row>
    <x:row r="61">
      <x:c r="A61" s="18" t="n">
        <x:f>MOD(ROW(A61)-ROW($A$53),20)+1</x:f>
        <x:v>9</x:v>
      </x:c>
      <x:c r="B61" s="18" t="str">
        <x:f>INDEX(B$6:B$25,$A61)</x:f>
        <x:v>J</x:v>
      </x:c>
      <x:c r="C61" s="18" t="str">
        <x:f>INDEX(C$6:C$25,$A61)</x:f>
        <x:v>Q</x:v>
      </x:c>
      <x:c r="D61" s="18" t="str">
        <x:f>INDEX(D$6:D$25,$A61)</x:f>
        <x:v>Q</x:v>
      </x:c>
      <x:c r="E61" s="18" t="str">
        <x:f>INDEX(E$6:E$25,$A61)</x:f>
        <x:v>Q</x:v>
      </x:c>
      <x:c r="F61" s="18" t="str">
        <x:f>INDEX(F$6:F$25,$A61)</x:f>
        <x:v>Q</x:v>
      </x:c>
      <x:c r="H61" s="18" t="n">
        <x:f>A60</x:f>
        <x:v>8</x:v>
      </x:c>
      <x:c r="I61" s="18" t="n">
        <x:f>IF(COUNTIF(B60:B62,"W")+COUNTIF(B60:B62,"K")&gt;0,1,0)</x:f>
        <x:v>0</x:v>
      </x:c>
      <x:c r="J61" s="18" t="n">
        <x:f>IF(COUNTIF(C60:C62,"W")+COUNTIF(C60:C62,"K")&gt;0,1,0)</x:f>
        <x:v>1</x:v>
      </x:c>
      <x:c r="K61" s="18" t="n">
        <x:f>IF(COUNTIF(D60:D62,"W")+COUNTIF(D60:D62,"K")&gt;0,1,0)</x:f>
        <x:v>1</x:v>
      </x:c>
      <x:c r="L61" s="18" t="n">
        <x:f>IF(COUNTIF(E60:E62,"W")+COUNTIF(E60:E62,"K")&gt;0,1,0)</x:f>
        <x:v>1</x:v>
      </x:c>
      <x:c r="M61" s="18" t="n">
        <x:f>IF(COUNTIF(F60:F62,"W")+COUNTIF(F60:F62,"K")&gt;0,1,0)</x:f>
        <x:v>1</x:v>
      </x:c>
      <x:c r="N61" s="18" t="str">
        <x:v>1=有W/圖案, 0=沒有</x:v>
      </x:c>
    </x:row>
    <x:row r="62">
      <x:c r="A62" s="18" t="n">
        <x:f>MOD(ROW(A62)-ROW($A$53),20)+1</x:f>
        <x:v>10</x:v>
      </x:c>
      <x:c r="B62" s="18" t="n">
        <x:f>INDEX(B$6:B$25,$A62)</x:f>
        <x:v>10</x:v>
      </x:c>
      <x:c r="C62" s="18" t="str">
        <x:f>INDEX(C$6:C$25,$A62)</x:f>
        <x:v>J</x:v>
      </x:c>
      <x:c r="D62" s="18" t="str">
        <x:f>INDEX(D$6:D$25,$A62)</x:f>
        <x:v>J</x:v>
      </x:c>
      <x:c r="E62" s="18" t="str">
        <x:f>INDEX(E$6:E$25,$A62)</x:f>
        <x:v>J</x:v>
      </x:c>
      <x:c r="F62" s="18" t="str">
        <x:f>INDEX(F$6:F$25,$A62)</x:f>
        <x:v>J</x:v>
      </x:c>
      <x:c r="H62" s="18" t="n">
        <x:f>A61</x:f>
        <x:v>9</x:v>
      </x:c>
      <x:c r="I62" s="18" t="n">
        <x:f>IF(COUNTIF(B61:B63,"W")+COUNTIF(B61:B63,"K")&gt;0,1,0)</x:f>
        <x:v>0</x:v>
      </x:c>
      <x:c r="J62" s="18" t="n">
        <x:f>IF(COUNTIF(C61:C63,"W")+COUNTIF(C61:C63,"K")&gt;0,1,0)</x:f>
        <x:v>0</x:v>
      </x:c>
      <x:c r="K62" s="18" t="n">
        <x:f>IF(COUNTIF(D61:D63,"W")+COUNTIF(D61:D63,"K")&gt;0,1,0)</x:f>
        <x:v>0</x:v>
      </x:c>
      <x:c r="L62" s="18" t="n">
        <x:f>IF(COUNTIF(E61:E63,"W")+COUNTIF(E61:E63,"K")&gt;0,1,0)</x:f>
        <x:v>0</x:v>
      </x:c>
      <x:c r="M62" s="18" t="n">
        <x:f>IF(COUNTIF(F61:F63,"W")+COUNTIF(F61:F63,"K")&gt;0,1,0)</x:f>
        <x:v>0</x:v>
      </x:c>
      <x:c r="N62" s="18" t="str">
        <x:v>1=有W/圖案, 0=沒有</x:v>
      </x:c>
    </x:row>
    <x:row r="63">
      <x:c r="A63" s="18" t="n">
        <x:f>MOD(ROW(A63)-ROW($A$53),20)+1</x:f>
        <x:v>11</x:v>
      </x:c>
      <x:c r="B63" s="18" t="n">
        <x:f>INDEX(B$6:B$25,$A63)</x:f>
        <x:v>9</x:v>
      </x:c>
      <x:c r="C63" s="18" t="n">
        <x:f>INDEX(C$6:C$25,$A63)</x:f>
        <x:v>10</x:v>
      </x:c>
      <x:c r="D63" s="18" t="n">
        <x:f>INDEX(D$6:D$25,$A63)</x:f>
        <x:v>10</x:v>
      </x:c>
      <x:c r="E63" s="18" t="n">
        <x:f>INDEX(E$6:E$25,$A63)</x:f>
        <x:v>10</x:v>
      </x:c>
      <x:c r="F63" s="18" t="n">
        <x:f>INDEX(F$6:F$25,$A63)</x:f>
        <x:v>10</x:v>
      </x:c>
      <x:c r="H63" s="18" t="n">
        <x:f>A62</x:f>
        <x:v>10</x:v>
      </x:c>
      <x:c r="I63" s="18" t="n">
        <x:f>IF(COUNTIF(B62:B64,"W")+COUNTIF(B62:B64,"K")&gt;0,1,0)</x:f>
        <x:v>0</x:v>
      </x:c>
      <x:c r="J63" s="18" t="n">
        <x:f>IF(COUNTIF(C62:C64,"W")+COUNTIF(C62:C64,"K")&gt;0,1,0)</x:f>
        <x:v>0</x:v>
      </x:c>
      <x:c r="K63" s="18" t="n">
        <x:f>IF(COUNTIF(D62:D64,"W")+COUNTIF(D62:D64,"K")&gt;0,1,0)</x:f>
        <x:v>0</x:v>
      </x:c>
      <x:c r="L63" s="18" t="n">
        <x:f>IF(COUNTIF(E62:E64,"W")+COUNTIF(E62:E64,"K")&gt;0,1,0)</x:f>
        <x:v>0</x:v>
      </x:c>
      <x:c r="M63" s="18" t="n">
        <x:f>IF(COUNTIF(F62:F64,"W")+COUNTIF(F62:F64,"K")&gt;0,1,0)</x:f>
        <x:v>0</x:v>
      </x:c>
      <x:c r="N63" s="18" t="str">
        <x:v>1=有W/圖案, 0=沒有</x:v>
      </x:c>
    </x:row>
    <x:row r="64">
      <x:c r="A64" s="18" t="n">
        <x:f>MOD(ROW(A64)-ROW($A$53),20)+1</x:f>
        <x:v>12</x:v>
      </x:c>
      <x:c r="B64" s="18" t="n">
        <x:f>INDEX(B$6:B$25,$A64)</x:f>
        <x:v>10</x:v>
      </x:c>
      <x:c r="C64" s="18" t="n">
        <x:f>INDEX(C$6:C$25,$A64)</x:f>
        <x:v>9</x:v>
      </x:c>
      <x:c r="D64" s="18" t="n">
        <x:f>INDEX(D$6:D$25,$A64)</x:f>
        <x:v>9</x:v>
      </x:c>
      <x:c r="E64" s="18" t="n">
        <x:f>INDEX(E$6:E$25,$A64)</x:f>
        <x:v>9</x:v>
      </x:c>
      <x:c r="F64" s="18" t="n">
        <x:f>INDEX(F$6:F$25,$A64)</x:f>
        <x:v>9</x:v>
      </x:c>
      <x:c r="H64" s="18" t="n">
        <x:f>A63</x:f>
        <x:v>11</x:v>
      </x:c>
      <x:c r="I64" s="18" t="n">
        <x:f>IF(COUNTIF(B63:B65,"W")+COUNTIF(B63:B65,"K")&gt;0,1,0)</x:f>
        <x:v>0</x:v>
      </x:c>
      <x:c r="J64" s="18" t="n">
        <x:f>IF(COUNTIF(C63:C65,"W")+COUNTIF(C63:C65,"K")&gt;0,1,0)</x:f>
        <x:v>1</x:v>
      </x:c>
      <x:c r="K64" s="18" t="n">
        <x:f>IF(COUNTIF(D63:D65,"W")+COUNTIF(D63:D65,"K")&gt;0,1,0)</x:f>
        <x:v>1</x:v>
      </x:c>
      <x:c r="L64" s="18" t="n">
        <x:f>IF(COUNTIF(E63:E65,"W")+COUNTIF(E63:E65,"K")&gt;0,1,0)</x:f>
        <x:v>1</x:v>
      </x:c>
      <x:c r="M64" s="18" t="n">
        <x:f>IF(COUNTIF(F63:F65,"W")+COUNTIF(F63:F65,"K")&gt;0,1,0)</x:f>
        <x:v>1</x:v>
      </x:c>
      <x:c r="N64" s="18" t="str">
        <x:v>1=有W/圖案, 0=沒有</x:v>
      </x:c>
    </x:row>
    <x:row r="65">
      <x:c r="A65" s="18" t="n">
        <x:f>MOD(ROW(A65)-ROW($A$53),20)+1</x:f>
        <x:v>13</x:v>
      </x:c>
      <x:c r="B65" s="18" t="str">
        <x:f>INDEX(B$6:B$25,$A65)</x:f>
        <x:v>Q</x:v>
      </x:c>
      <x:c r="C65" s="18" t="str">
        <x:f>INDEX(C$6:C$25,$A65)</x:f>
        <x:v>K</x:v>
      </x:c>
      <x:c r="D65" s="18" t="str">
        <x:f>INDEX(D$6:D$25,$A65)</x:f>
        <x:v>K</x:v>
      </x:c>
      <x:c r="E65" s="18" t="str">
        <x:f>INDEX(E$6:E$25,$A65)</x:f>
        <x:v>K</x:v>
      </x:c>
      <x:c r="F65" s="18" t="str">
        <x:f>INDEX(F$6:F$25,$A65)</x:f>
        <x:v>K</x:v>
      </x:c>
      <x:c r="H65" s="18" t="n">
        <x:f>A64</x:f>
        <x:v>12</x:v>
      </x:c>
      <x:c r="I65" s="18" t="n">
        <x:f>IF(COUNTIF(B64:B66,"W")+COUNTIF(B64:B66,"K")&gt;0,1,0)</x:f>
        <x:v>0</x:v>
      </x:c>
      <x:c r="J65" s="18" t="n">
        <x:f>IF(COUNTIF(C64:C66,"W")+COUNTIF(C64:C66,"K")&gt;0,1,0)</x:f>
        <x:v>1</x:v>
      </x:c>
      <x:c r="K65" s="18" t="n">
        <x:f>IF(COUNTIF(D64:D66,"W")+COUNTIF(D64:D66,"K")&gt;0,1,0)</x:f>
        <x:v>1</x:v>
      </x:c>
      <x:c r="L65" s="18" t="n">
        <x:f>IF(COUNTIF(E64:E66,"W")+COUNTIF(E64:E66,"K")&gt;0,1,0)</x:f>
        <x:v>1</x:v>
      </x:c>
      <x:c r="M65" s="18" t="n">
        <x:f>IF(COUNTIF(F64:F66,"W")+COUNTIF(F64:F66,"K")&gt;0,1,0)</x:f>
        <x:v>1</x:v>
      </x:c>
      <x:c r="N65" s="18" t="str">
        <x:v>1=有W/圖案, 0=沒有</x:v>
      </x:c>
    </x:row>
    <x:row r="66">
      <x:c r="A66" s="18" t="n">
        <x:f>MOD(ROW(A66)-ROW($A$53),20)+1</x:f>
        <x:v>14</x:v>
      </x:c>
      <x:c r="B66" s="18" t="str">
        <x:f>INDEX(B$6:B$25,$A66)</x:f>
        <x:v>J</x:v>
      </x:c>
      <x:c r="C66" s="18" t="str">
        <x:f>INDEX(C$6:C$25,$A66)</x:f>
        <x:v>Q</x:v>
      </x:c>
      <x:c r="D66" s="18" t="str">
        <x:f>INDEX(D$6:D$25,$A66)</x:f>
        <x:v>Q</x:v>
      </x:c>
      <x:c r="E66" s="18" t="str">
        <x:f>INDEX(E$6:E$25,$A66)</x:f>
        <x:v>Q</x:v>
      </x:c>
      <x:c r="F66" s="18" t="str">
        <x:f>INDEX(F$6:F$25,$A66)</x:f>
        <x:v>Q</x:v>
      </x:c>
      <x:c r="H66" s="18" t="n">
        <x:f>A65</x:f>
        <x:v>13</x:v>
      </x:c>
      <x:c r="I66" s="18" t="n">
        <x:f>IF(COUNTIF(B65:B67,"W")+COUNTIF(B65:B67,"K")&gt;0,1,0)</x:f>
        <x:v>0</x:v>
      </x:c>
      <x:c r="J66" s="18" t="n">
        <x:f>IF(COUNTIF(C65:C67,"W")+COUNTIF(C65:C67,"K")&gt;0,1,0)</x:f>
        <x:v>1</x:v>
      </x:c>
      <x:c r="K66" s="18" t="n">
        <x:f>IF(COUNTIF(D65:D67,"W")+COUNTIF(D65:D67,"K")&gt;0,1,0)</x:f>
        <x:v>1</x:v>
      </x:c>
      <x:c r="L66" s="18" t="n">
        <x:f>IF(COUNTIF(E65:E67,"W")+COUNTIF(E65:E67,"K")&gt;0,1,0)</x:f>
        <x:v>1</x:v>
      </x:c>
      <x:c r="M66" s="18" t="n">
        <x:f>IF(COUNTIF(F65:F67,"W")+COUNTIF(F65:F67,"K")&gt;0,1,0)</x:f>
        <x:v>1</x:v>
      </x:c>
      <x:c r="N66" s="18" t="str">
        <x:v>1=有W/圖案, 0=沒有</x:v>
      </x:c>
    </x:row>
    <x:row r="67">
      <x:c r="A67" s="18" t="n">
        <x:f>MOD(ROW(A67)-ROW($A$53),20)+1</x:f>
        <x:v>15</x:v>
      </x:c>
      <x:c r="B67" s="18" t="n">
        <x:f>INDEX(B$6:B$25,$A67)</x:f>
        <x:v>10</x:v>
      </x:c>
      <x:c r="C67" s="18" t="str">
        <x:f>INDEX(C$6:C$25,$A67)</x:f>
        <x:v>J</x:v>
      </x:c>
      <x:c r="D67" s="18" t="str">
        <x:f>INDEX(D$6:D$25,$A67)</x:f>
        <x:v>J</x:v>
      </x:c>
      <x:c r="E67" s="18" t="str">
        <x:f>INDEX(E$6:E$25,$A67)</x:f>
        <x:v>J</x:v>
      </x:c>
      <x:c r="F67" s="18" t="str">
        <x:f>INDEX(F$6:F$25,$A67)</x:f>
        <x:v>J</x:v>
      </x:c>
      <x:c r="H67" s="18" t="n">
        <x:f>A66</x:f>
        <x:v>14</x:v>
      </x:c>
      <x:c r="I67" s="18" t="n">
        <x:f>IF(COUNTIF(B66:B68,"W")+COUNTIF(B66:B68,"K")&gt;0,1,0)</x:f>
        <x:v>0</x:v>
      </x:c>
      <x:c r="J67" s="18" t="n">
        <x:f>IF(COUNTIF(C66:C68,"W")+COUNTIF(C66:C68,"K")&gt;0,1,0)</x:f>
        <x:v>0</x:v>
      </x:c>
      <x:c r="K67" s="18" t="n">
        <x:f>IF(COUNTIF(D66:D68,"W")+COUNTIF(D66:D68,"K")&gt;0,1,0)</x:f>
        <x:v>0</x:v>
      </x:c>
      <x:c r="L67" s="18" t="n">
        <x:f>IF(COUNTIF(E66:E68,"W")+COUNTIF(E66:E68,"K")&gt;0,1,0)</x:f>
        <x:v>0</x:v>
      </x:c>
      <x:c r="M67" s="18" t="n">
        <x:f>IF(COUNTIF(F66:F68,"W")+COUNTIF(F66:F68,"K")&gt;0,1,0)</x:f>
        <x:v>0</x:v>
      </x:c>
      <x:c r="N67" s="18" t="str">
        <x:v>1=有W/圖案, 0=沒有</x:v>
      </x:c>
    </x:row>
    <x:row r="68">
      <x:c r="A68" s="18" t="n">
        <x:f>MOD(ROW(A68)-ROW($A$53),20)+1</x:f>
        <x:v>16</x:v>
      </x:c>
      <x:c r="B68" s="18" t="n">
        <x:f>INDEX(B$6:B$25,$A68)</x:f>
        <x:v>9</x:v>
      </x:c>
      <x:c r="C68" s="18" t="n">
        <x:f>INDEX(C$6:C$25,$A68)</x:f>
        <x:v>10</x:v>
      </x:c>
      <x:c r="D68" s="18" t="n">
        <x:f>INDEX(D$6:D$25,$A68)</x:f>
        <x:v>10</x:v>
      </x:c>
      <x:c r="E68" s="18" t="n">
        <x:f>INDEX(E$6:E$25,$A68)</x:f>
        <x:v>10</x:v>
      </x:c>
      <x:c r="F68" s="18" t="n">
        <x:f>INDEX(F$6:F$25,$A68)</x:f>
        <x:v>10</x:v>
      </x:c>
      <x:c r="H68" s="18" t="n">
        <x:f>A67</x:f>
        <x:v>15</x:v>
      </x:c>
      <x:c r="I68" s="18" t="n">
        <x:f>IF(COUNTIF(B67:B69,"W")+COUNTIF(B67:B69,"K")&gt;0,1,0)</x:f>
        <x:v>0</x:v>
      </x:c>
      <x:c r="J68" s="18" t="n">
        <x:f>IF(COUNTIF(C67:C69,"W")+COUNTIF(C67:C69,"K")&gt;0,1,0)</x:f>
        <x:v>0</x:v>
      </x:c>
      <x:c r="K68" s="18" t="n">
        <x:f>IF(COUNTIF(D67:D69,"W")+COUNTIF(D67:D69,"K")&gt;0,1,0)</x:f>
        <x:v>0</x:v>
      </x:c>
      <x:c r="L68" s="18" t="n">
        <x:f>IF(COUNTIF(E67:E69,"W")+COUNTIF(E67:E69,"K")&gt;0,1,0)</x:f>
        <x:v>0</x:v>
      </x:c>
      <x:c r="M68" s="18" t="n">
        <x:f>IF(COUNTIF(F67:F69,"W")+COUNTIF(F67:F69,"K")&gt;0,1,0)</x:f>
        <x:v>0</x:v>
      </x:c>
      <x:c r="N68" s="18" t="str">
        <x:v>1=有W/圖案, 0=沒有</x:v>
      </x:c>
    </x:row>
    <x:row r="69">
      <x:c r="A69" s="18" t="n">
        <x:f>MOD(ROW(A69)-ROW($A$53),20)+1</x:f>
        <x:v>17</x:v>
      </x:c>
      <x:c r="B69" s="18" t="n">
        <x:f>INDEX(B$6:B$25,$A69)</x:f>
        <x:v>9</x:v>
      </x:c>
      <x:c r="C69" s="18" t="n">
        <x:f>INDEX(C$6:C$25,$A69)</x:f>
        <x:v>9</x:v>
      </x:c>
      <x:c r="D69" s="18" t="n">
        <x:f>INDEX(D$6:D$25,$A69)</x:f>
        <x:v>9</x:v>
      </x:c>
      <x:c r="E69" s="18" t="n">
        <x:f>INDEX(E$6:E$25,$A69)</x:f>
        <x:v>9</x:v>
      </x:c>
      <x:c r="F69" s="18" t="n">
        <x:f>INDEX(F$6:F$25,$A69)</x:f>
        <x:v>9</x:v>
      </x:c>
      <x:c r="H69" s="18" t="n">
        <x:f>A68</x:f>
        <x:v>16</x:v>
      </x:c>
      <x:c r="I69" s="18" t="n">
        <x:f>IF(COUNTIF(B68:B70,"W")+COUNTIF(B68:B70,"K")&gt;0,1,0)</x:f>
        <x:v>0</x:v>
      </x:c>
      <x:c r="J69" s="18" t="n">
        <x:f>IF(COUNTIF(C68:C70,"W")+COUNTIF(C68:C70,"K")&gt;0,1,0)</x:f>
        <x:v>0</x:v>
      </x:c>
      <x:c r="K69" s="18" t="n">
        <x:f>IF(COUNTIF(D68:D70,"W")+COUNTIF(D68:D70,"K")&gt;0,1,0)</x:f>
        <x:v>0</x:v>
      </x:c>
      <x:c r="L69" s="18" t="n">
        <x:f>IF(COUNTIF(E68:E70,"W")+COUNTIF(E68:E70,"K")&gt;0,1,0)</x:f>
        <x:v>0</x:v>
      </x:c>
      <x:c r="M69" s="18" t="n">
        <x:f>IF(COUNTIF(F68:F70,"W")+COUNTIF(F68:F70,"K")&gt;0,1,0)</x:f>
        <x:v>0</x:v>
      </x:c>
      <x:c r="N69" s="18" t="str">
        <x:v>1=有W/圖案, 0=沒有</x:v>
      </x:c>
    </x:row>
    <x:row r="70">
      <x:c r="A70" s="18" t="n">
        <x:f>MOD(ROW(A70)-ROW($A$53),20)+1</x:f>
        <x:v>18</x:v>
      </x:c>
      <x:c r="B70" s="18" t="str">
        <x:f>INDEX(B$6:B$25,$A70)</x:f>
        <x:v>J</x:v>
      </x:c>
      <x:c r="C70" s="18" t="str">
        <x:f>INDEX(C$6:C$25,$A70)</x:f>
        <x:v>J</x:v>
      </x:c>
      <x:c r="D70" s="18" t="str">
        <x:f>INDEX(D$6:D$25,$A70)</x:f>
        <x:v>J</x:v>
      </x:c>
      <x:c r="E70" s="18" t="str">
        <x:f>INDEX(E$6:E$25,$A70)</x:f>
        <x:v>J</x:v>
      </x:c>
      <x:c r="F70" s="18" t="str">
        <x:f>INDEX(F$6:F$25,$A70)</x:f>
        <x:v>J</x:v>
      </x:c>
      <x:c r="H70" s="18" t="n">
        <x:f>A69</x:f>
        <x:v>17</x:v>
      </x:c>
      <x:c r="I70" s="18" t="n">
        <x:f>IF(COUNTIF(B69:B71,"W")+COUNTIF(B69:B71,"K")&gt;0,1,0)</x:f>
        <x:v>0</x:v>
      </x:c>
      <x:c r="J70" s="18" t="n">
        <x:f>IF(COUNTIF(C69:C71,"W")+COUNTIF(C69:C71,"K")&gt;0,1,0)</x:f>
        <x:v>0</x:v>
      </x:c>
      <x:c r="K70" s="18" t="n">
        <x:f>IF(COUNTIF(D69:D71,"W")+COUNTIF(D69:D71,"K")&gt;0,1,0)</x:f>
        <x:v>0</x:v>
      </x:c>
      <x:c r="L70" s="18" t="n">
        <x:f>IF(COUNTIF(E69:E71,"W")+COUNTIF(E69:E71,"K")&gt;0,1,0)</x:f>
        <x:v>0</x:v>
      </x:c>
      <x:c r="M70" s="18" t="n">
        <x:f>IF(COUNTIF(F69:F71,"W")+COUNTIF(F69:F71,"K")&gt;0,1,0)</x:f>
        <x:v>0</x:v>
      </x:c>
      <x:c r="N70" s="18" t="str">
        <x:v>1=有W/圖案, 0=沒有</x:v>
      </x:c>
    </x:row>
    <x:row r="71">
      <x:c r="A71" s="18" t="n">
        <x:f>MOD(ROW(A71)-ROW($A$53),20)+1</x:f>
        <x:v>19</x:v>
      </x:c>
      <x:c r="B71" s="18" t="n">
        <x:f>INDEX(B$6:B$25,$A71)</x:f>
        <x:v>10</x:v>
      </x:c>
      <x:c r="C71" s="18" t="str">
        <x:f>INDEX(C$6:C$25,$A71)</x:f>
        <x:v>J</x:v>
      </x:c>
      <x:c r="D71" s="18" t="n">
        <x:f>INDEX(D$6:D$25,$A71)</x:f>
        <x:v>10</x:v>
      </x:c>
      <x:c r="E71" s="18" t="n">
        <x:f>INDEX(E$6:E$25,$A71)</x:f>
        <x:v>10</x:v>
      </x:c>
      <x:c r="F71" s="18" t="n">
        <x:f>INDEX(F$6:F$25,$A71)</x:f>
        <x:v>10</x:v>
      </x:c>
      <x:c r="H71" s="18" t="n">
        <x:f>A70</x:f>
        <x:v>18</x:v>
      </x:c>
      <x:c r="I71" s="18" t="n">
        <x:f>IF(COUNTIF(B70:B72,"W")+COUNTIF(B70:B72,"K")&gt;0,1,0)</x:f>
        <x:v>0</x:v>
      </x:c>
      <x:c r="J71" s="18" t="n">
        <x:f>IF(COUNTIF(C70:C72,"W")+COUNTIF(C70:C72,"K")&gt;0,1,0)</x:f>
        <x:v>0</x:v>
      </x:c>
      <x:c r="K71" s="18" t="n">
        <x:f>IF(COUNTIF(D70:D72,"W")+COUNTIF(D70:D72,"K")&gt;0,1,0)</x:f>
        <x:v>0</x:v>
      </x:c>
      <x:c r="L71" s="18" t="n">
        <x:f>IF(COUNTIF(E70:E72,"W")+COUNTIF(E70:E72,"K")&gt;0,1,0)</x:f>
        <x:v>0</x:v>
      </x:c>
      <x:c r="M71" s="18" t="n">
        <x:f>IF(COUNTIF(F70:F72,"W")+COUNTIF(F70:F72,"K")&gt;0,1,0)</x:f>
        <x:v>0</x:v>
      </x:c>
      <x:c r="N71" s="18" t="str">
        <x:v>1=有W/圖案, 0=沒有</x:v>
      </x:c>
    </x:row>
    <x:row r="72">
      <x:c r="A72" s="18" t="n">
        <x:f>MOD(ROW(A72)-ROW($A$53),20)+1</x:f>
        <x:v>20</x:v>
      </x:c>
      <x:c r="B72" s="18" t="n">
        <x:f>INDEX(B$6:B$25,$A72)</x:f>
        <x:v>9</x:v>
      </x:c>
      <x:c r="C72" s="18" t="n">
        <x:f>INDEX(C$6:C$25,$A72)</x:f>
        <x:v>9</x:v>
      </x:c>
      <x:c r="D72" s="18" t="n">
        <x:f>INDEX(D$6:D$25,$A72)</x:f>
        <x:v>9</x:v>
      </x:c>
      <x:c r="E72" s="18" t="n">
        <x:f>INDEX(E$6:E$25,$A72)</x:f>
        <x:v>9</x:v>
      </x:c>
      <x:c r="F72" s="18" t="n">
        <x:f>INDEX(F$6:F$25,$A72)</x:f>
        <x:v>9</x:v>
      </x:c>
      <x:c r="H72" s="18" t="n">
        <x:f>A71</x:f>
        <x:v>19</x:v>
      </x:c>
      <x:c r="I72" s="18" t="n">
        <x:f>IF(COUNTIF(B71:B73,"W")+COUNTIF(B71:B73,"K")&gt;0,1,0)</x:f>
        <x:v>1</x:v>
      </x:c>
      <x:c r="J72" s="18" t="n">
        <x:f>IF(COUNTIF(C71:C73,"W")+COUNTIF(C71:C73,"K")&gt;0,1,0)</x:f>
        <x:v>1</x:v>
      </x:c>
      <x:c r="K72" s="18" t="n">
        <x:f>IF(COUNTIF(D71:D73,"W")+COUNTIF(D71:D73,"K")&gt;0,1,0)</x:f>
        <x:v>1</x:v>
      </x:c>
      <x:c r="L72" s="18" t="n">
        <x:f>IF(COUNTIF(E71:E73,"W")+COUNTIF(E71:E73,"K")&gt;0,1,0)</x:f>
        <x:v>1</x:v>
      </x:c>
      <x:c r="M72" s="18" t="n">
        <x:f>IF(COUNTIF(F71:F73,"W")+COUNTIF(F71:F73,"K")&gt;0,1,0)</x:f>
        <x:v>1</x:v>
      </x:c>
      <x:c r="N72" s="18" t="str">
        <x:v>1=有W/圖案, 0=沒有</x:v>
      </x:c>
    </x:row>
    <x:row r="73">
      <x:c r="A73" s="18" t="n">
        <x:f>MOD(ROW(A73)-ROW($A$53),20)+1</x:f>
        <x:v>1</x:v>
      </x:c>
      <x:c r="B73" s="18" t="str">
        <x:f>INDEX(B$6:B$25,$A73)</x:f>
        <x:v>K</x:v>
      </x:c>
      <x:c r="C73" s="18" t="str">
        <x:f>INDEX(C$6:C$25,$A73)</x:f>
        <x:v>W</x:v>
      </x:c>
      <x:c r="D73" s="18" t="str">
        <x:f>INDEX(D$6:D$25,$A73)</x:f>
        <x:v>W</x:v>
      </x:c>
      <x:c r="E73" s="18" t="str">
        <x:f>INDEX(E$6:E$25,$A73)</x:f>
        <x:v>W</x:v>
      </x:c>
      <x:c r="F73" s="18" t="str">
        <x:f>INDEX(F$6:F$25,$A73)</x:f>
        <x:v>W</x:v>
      </x:c>
      <x:c r="H73" s="18" t="n">
        <x:f>A72</x:f>
        <x:v>20</x:v>
      </x:c>
      <x:c r="I73" s="18" t="n">
        <x:f>IF(COUNTIF(B72:B74,"W")+COUNTIF(B72:B74,"K")&gt;0,1,0)</x:f>
        <x:v>1</x:v>
      </x:c>
      <x:c r="J73" s="18" t="n">
        <x:f>IF(COUNTIF(C72:C74,"W")+COUNTIF(C72:C74,"K")&gt;0,1,0)</x:f>
        <x:v>1</x:v>
      </x:c>
      <x:c r="K73" s="18" t="n">
        <x:f>IF(COUNTIF(D72:D74,"W")+COUNTIF(D72:D74,"K")&gt;0,1,0)</x:f>
        <x:v>1</x:v>
      </x:c>
      <x:c r="L73" s="18" t="n">
        <x:f>IF(COUNTIF(E72:E74,"W")+COUNTIF(E72:E74,"K")&gt;0,1,0)</x:f>
        <x:v>1</x:v>
      </x:c>
      <x:c r="M73" s="18" t="n">
        <x:f>IF(COUNTIF(F72:F74,"W")+COUNTIF(F72:F74,"K")&gt;0,1,0)</x:f>
        <x:v>1</x:v>
      </x:c>
      <x:c r="N73" s="18" t="str">
        <x:v>1=有W/圖案, 0=沒有</x:v>
      </x:c>
    </x:row>
    <x:row r="74">
      <x:c r="A74" s="18" t="n">
        <x:f>MOD(ROW(A74)-ROW($A$53),20)+1</x:f>
        <x:v>2</x:v>
      </x:c>
      <x:c r="B74" s="18" t="str">
        <x:f>INDEX(B$6:B$25,$A74)</x:f>
        <x:v>Q</x:v>
      </x:c>
      <x:c r="C74" s="18" t="str">
        <x:f>INDEX(C$6:C$25,$A74)</x:f>
        <x:v>K</x:v>
      </x:c>
      <x:c r="D74" s="18" t="str">
        <x:f>INDEX(D$6:D$25,$A74)</x:f>
        <x:v>K</x:v>
      </x:c>
      <x:c r="E74" s="18" t="str">
        <x:f>INDEX(E$6:E$25,$A74)</x:f>
        <x:v>K</x:v>
      </x:c>
      <x:c r="F74" s="18" t="str">
        <x:f>INDEX(F$6:F$25,$A74)</x:f>
        <x:v>K</x:v>
      </x:c>
      <x:c r="H74" s="23" t="str">
        <x:v>X_WQ 判斷表</x:v>
      </x:c>
      <x:c r="I74" s="23" t="str">
        <x:v>X_WQ 判斷表</x:v>
      </x:c>
      <x:c r="J74" s="23" t="str">
        <x:v>X_WQ 判斷表</x:v>
      </x:c>
      <x:c r="K74" s="23" t="str">
        <x:v>X_WQ 判斷表</x:v>
      </x:c>
      <x:c r="L74" s="23" t="str">
        <x:v>X_WQ 判斷表</x:v>
      </x:c>
      <x:c r="M74" s="23" t="str">
        <x:v>X_WQ 判斷表</x:v>
      </x:c>
      <x:c r="N74" s="23" t="str">
        <x:v>X_WQ 判斷表</x:v>
      </x:c>
    </x:row>
    <x:row r="75">
      <x:c r="H75" s="16" t="str">
        <x:v>stop</x:v>
      </x:c>
      <x:c r="I75" s="16" t="str">
        <x:v>轉輪1</x:v>
      </x:c>
      <x:c r="J75" s="16" t="str">
        <x:v>轉輪2</x:v>
      </x:c>
      <x:c r="K75" s="16" t="str">
        <x:v>轉輪3</x:v>
      </x:c>
      <x:c r="L75" s="16" t="str">
        <x:v>轉輪4</x:v>
      </x:c>
      <x:c r="M75" s="16" t="str">
        <x:v>轉輪5</x:v>
      </x:c>
      <x:c r="N75" s="16" t="str">
        <x:v>判斷</x:v>
      </x:c>
    </x:row>
    <x:row r="76">
      <x:c r="H76" s="18" t="n">
        <x:f>A53</x:f>
        <x:v>1</x:v>
      </x:c>
      <x:c r="I76" s="18" t="n">
        <x:f>IF(COUNTIF(B53:B55,"W")+COUNTIF(B53:B55,"Q")&gt;0,1,0)</x:f>
        <x:v>1</x:v>
      </x:c>
      <x:c r="J76" s="18" t="n">
        <x:f>IF(COUNTIF(C53:C55,"W")+COUNTIF(C53:C55,"Q")&gt;0,1,0)</x:f>
        <x:v>1</x:v>
      </x:c>
      <x:c r="K76" s="18" t="n">
        <x:f>IF(COUNTIF(D53:D55,"W")+COUNTIF(D53:D55,"Q")&gt;0,1,0)</x:f>
        <x:v>1</x:v>
      </x:c>
      <x:c r="L76" s="18" t="n">
        <x:f>IF(COUNTIF(E53:E55,"W")+COUNTIF(E53:E55,"Q")&gt;0,1,0)</x:f>
        <x:v>1</x:v>
      </x:c>
      <x:c r="M76" s="18" t="n">
        <x:f>IF(COUNTIF(F53:F55,"W")+COUNTIF(F53:F55,"Q")&gt;0,1,0)</x:f>
        <x:v>1</x:v>
      </x:c>
      <x:c r="N76" s="18" t="str">
        <x:v>1=有W/圖案, 0=沒有</x:v>
      </x:c>
    </x:row>
    <x:row r="77">
      <x:c r="H77" s="18" t="n">
        <x:f>A54</x:f>
        <x:v>2</x:v>
      </x:c>
      <x:c r="I77" s="18" t="n">
        <x:f>IF(COUNTIF(B54:B56,"W")+COUNTIF(B54:B56,"Q")&gt;0,1,0)</x:f>
        <x:v>1</x:v>
      </x:c>
      <x:c r="J77" s="18" t="n">
        <x:f>IF(COUNTIF(C54:C56,"W")+COUNTIF(C54:C56,"Q")&gt;0,1,0)</x:f>
        <x:v>1</x:v>
      </x:c>
      <x:c r="K77" s="18" t="n">
        <x:f>IF(COUNTIF(D54:D56,"W")+COUNTIF(D54:D56,"Q")&gt;0,1,0)</x:f>
        <x:v>1</x:v>
      </x:c>
      <x:c r="L77" s="18" t="n">
        <x:f>IF(COUNTIF(E54:E56,"W")+COUNTIF(E54:E56,"Q")&gt;0,1,0)</x:f>
        <x:v>1</x:v>
      </x:c>
      <x:c r="M77" s="18" t="n">
        <x:f>IF(COUNTIF(F54:F56,"W")+COUNTIF(F54:F56,"Q")&gt;0,1,0)</x:f>
        <x:v>1</x:v>
      </x:c>
      <x:c r="N77" s="18" t="str">
        <x:v>1=有W/圖案, 0=沒有</x:v>
      </x:c>
    </x:row>
    <x:row r="78">
      <x:c r="H78" s="18" t="n">
        <x:f>A55</x:f>
        <x:v>3</x:v>
      </x:c>
      <x:c r="I78" s="18" t="n">
        <x:f>IF(COUNTIF(B55:B57,"W")+COUNTIF(B55:B57,"Q")&gt;0,1,0)</x:f>
        <x:v>0</x:v>
      </x:c>
      <x:c r="J78" s="18" t="n">
        <x:f>IF(COUNTIF(C55:C57,"W")+COUNTIF(C55:C57,"Q")&gt;0,1,0)</x:f>
        <x:v>1</x:v>
      </x:c>
      <x:c r="K78" s="18" t="n">
        <x:f>IF(COUNTIF(D55:D57,"W")+COUNTIF(D55:D57,"Q")&gt;0,1,0)</x:f>
        <x:v>1</x:v>
      </x:c>
      <x:c r="L78" s="18" t="n">
        <x:f>IF(COUNTIF(E55:E57,"W")+COUNTIF(E55:E57,"Q")&gt;0,1,0)</x:f>
        <x:v>1</x:v>
      </x:c>
      <x:c r="M78" s="18" t="n">
        <x:f>IF(COUNTIF(F55:F57,"W")+COUNTIF(F55:F57,"Q")&gt;0,1,0)</x:f>
        <x:v>1</x:v>
      </x:c>
      <x:c r="N78" s="18" t="str">
        <x:v>1=有W/圖案, 0=沒有</x:v>
      </x:c>
    </x:row>
    <x:row r="79">
      <x:c r="H79" s="18" t="n">
        <x:f>A56</x:f>
        <x:v>4</x:v>
      </x:c>
      <x:c r="I79" s="18" t="n">
        <x:f>IF(COUNTIF(B56:B58,"W")+COUNTIF(B56:B58,"Q")&gt;0,1,0)</x:f>
        <x:v>0</x:v>
      </x:c>
      <x:c r="J79" s="18" t="n">
        <x:f>IF(COUNTIF(C56:C58,"W")+COUNTIF(C56:C58,"Q")&gt;0,1,0)</x:f>
        <x:v>0</x:v>
      </x:c>
      <x:c r="K79" s="18" t="n">
        <x:f>IF(COUNTIF(D56:D58,"W")+COUNTIF(D56:D58,"Q")&gt;0,1,0)</x:f>
        <x:v>0</x:v>
      </x:c>
      <x:c r="L79" s="18" t="n">
        <x:f>IF(COUNTIF(E56:E58,"W")+COUNTIF(E56:E58,"Q")&gt;0,1,0)</x:f>
        <x:v>0</x:v>
      </x:c>
      <x:c r="M79" s="18" t="n">
        <x:f>IF(COUNTIF(F56:F58,"W")+COUNTIF(F56:F58,"Q")&gt;0,1,0)</x:f>
        <x:v>0</x:v>
      </x:c>
      <x:c r="N79" s="18" t="str">
        <x:v>1=有W/圖案, 0=沒有</x:v>
      </x:c>
    </x:row>
    <x:row r="80">
      <x:c r="H80" s="18" t="n">
        <x:f>A57</x:f>
        <x:v>5</x:v>
      </x:c>
      <x:c r="I80" s="18" t="n">
        <x:f>IF(COUNTIF(B57:B59,"W")+COUNTIF(B57:B59,"Q")&gt;0,1,0)</x:f>
        <x:v>0</x:v>
      </x:c>
      <x:c r="J80" s="18" t="n">
        <x:f>IF(COUNTIF(C57:C59,"W")+COUNTIF(C57:C59,"Q")&gt;0,1,0)</x:f>
        <x:v>0</x:v>
      </x:c>
      <x:c r="K80" s="18" t="n">
        <x:f>IF(COUNTIF(D57:D59,"W")+COUNTIF(D57:D59,"Q")&gt;0,1,0)</x:f>
        <x:v>0</x:v>
      </x:c>
      <x:c r="L80" s="18" t="n">
        <x:f>IF(COUNTIF(E57:E59,"W")+COUNTIF(E57:E59,"Q")&gt;0,1,0)</x:f>
        <x:v>0</x:v>
      </x:c>
      <x:c r="M80" s="18" t="n">
        <x:f>IF(COUNTIF(F57:F59,"W")+COUNTIF(F57:F59,"Q")&gt;0,1,0)</x:f>
        <x:v>0</x:v>
      </x:c>
      <x:c r="N80" s="18" t="str">
        <x:v>1=有W/圖案, 0=沒有</x:v>
      </x:c>
    </x:row>
    <x:row r="81">
      <x:c r="H81" s="18" t="n">
        <x:f>A58</x:f>
        <x:v>6</x:v>
      </x:c>
      <x:c r="I81" s="18" t="n">
        <x:f>IF(COUNTIF(B58:B60,"W")+COUNTIF(B58:B60,"Q")&gt;0,1,0)</x:f>
        <x:v>1</x:v>
      </x:c>
      <x:c r="J81" s="18" t="n">
        <x:f>IF(COUNTIF(C58:C60,"W")+COUNTIF(C58:C60,"Q")&gt;0,1,0)</x:f>
        <x:v>0</x:v>
      </x:c>
      <x:c r="K81" s="18" t="n">
        <x:f>IF(COUNTIF(D58:D60,"W")+COUNTIF(D58:D60,"Q")&gt;0,1,0)</x:f>
        <x:v>0</x:v>
      </x:c>
      <x:c r="L81" s="18" t="n">
        <x:f>IF(COUNTIF(E58:E60,"W")+COUNTIF(E58:E60,"Q")&gt;0,1,0)</x:f>
        <x:v>0</x:v>
      </x:c>
      <x:c r="M81" s="18" t="n">
        <x:f>IF(COUNTIF(F58:F60,"W")+COUNTIF(F58:F60,"Q")&gt;0,1,0)</x:f>
        <x:v>0</x:v>
      </x:c>
      <x:c r="N81" s="18" t="str">
        <x:v>1=有W/圖案, 0=沒有</x:v>
      </x:c>
    </x:row>
    <x:row r="82">
      <x:c r="H82" s="18" t="n">
        <x:f>A59</x:f>
        <x:v>7</x:v>
      </x:c>
      <x:c r="I82" s="18" t="n">
        <x:f>IF(COUNTIF(B59:B61,"W")+COUNTIF(B59:B61,"Q")&gt;0,1,0)</x:f>
        <x:v>1</x:v>
      </x:c>
      <x:c r="J82" s="18" t="n">
        <x:f>IF(COUNTIF(C59:C61,"W")+COUNTIF(C59:C61,"Q")&gt;0,1,0)</x:f>
        <x:v>1</x:v>
      </x:c>
      <x:c r="K82" s="18" t="n">
        <x:f>IF(COUNTIF(D59:D61,"W")+COUNTIF(D59:D61,"Q")&gt;0,1,0)</x:f>
        <x:v>1</x:v>
      </x:c>
      <x:c r="L82" s="18" t="n">
        <x:f>IF(COUNTIF(E59:E61,"W")+COUNTIF(E59:E61,"Q")&gt;0,1,0)</x:f>
        <x:v>1</x:v>
      </x:c>
      <x:c r="M82" s="18" t="n">
        <x:f>IF(COUNTIF(F59:F61,"W")+COUNTIF(F59:F61,"Q")&gt;0,1,0)</x:f>
        <x:v>1</x:v>
      </x:c>
      <x:c r="N82" s="18" t="str">
        <x:v>1=有W/圖案, 0=沒有</x:v>
      </x:c>
    </x:row>
    <x:row r="83">
      <x:c r="H83" s="18" t="n">
        <x:f>A60</x:f>
        <x:v>8</x:v>
      </x:c>
      <x:c r="I83" s="18" t="n">
        <x:f>IF(COUNTIF(B60:B62,"W")+COUNTIF(B60:B62,"Q")&gt;0,1,0)</x:f>
        <x:v>1</x:v>
      </x:c>
      <x:c r="J83" s="18" t="n">
        <x:f>IF(COUNTIF(C60:C62,"W")+COUNTIF(C60:C62,"Q")&gt;0,1,0)</x:f>
        <x:v>1</x:v>
      </x:c>
      <x:c r="K83" s="18" t="n">
        <x:f>IF(COUNTIF(D60:D62,"W")+COUNTIF(D60:D62,"Q")&gt;0,1,0)</x:f>
        <x:v>1</x:v>
      </x:c>
      <x:c r="L83" s="18" t="n">
        <x:f>IF(COUNTIF(E60:E62,"W")+COUNTIF(E60:E62,"Q")&gt;0,1,0)</x:f>
        <x:v>1</x:v>
      </x:c>
      <x:c r="M83" s="18" t="n">
        <x:f>IF(COUNTIF(F60:F62,"W")+COUNTIF(F60:F62,"Q")&gt;0,1,0)</x:f>
        <x:v>1</x:v>
      </x:c>
      <x:c r="N83" s="18" t="str">
        <x:v>1=有W/圖案, 0=沒有</x:v>
      </x:c>
    </x:row>
    <x:row r="84">
      <x:c r="H84" s="18" t="n">
        <x:f>A61</x:f>
        <x:v>9</x:v>
      </x:c>
      <x:c r="I84" s="18" t="n">
        <x:f>IF(COUNTIF(B61:B63,"W")+COUNTIF(B61:B63,"Q")&gt;0,1,0)</x:f>
        <x:v>0</x:v>
      </x:c>
      <x:c r="J84" s="18" t="n">
        <x:f>IF(COUNTIF(C61:C63,"W")+COUNTIF(C61:C63,"Q")&gt;0,1,0)</x:f>
        <x:v>1</x:v>
      </x:c>
      <x:c r="K84" s="18" t="n">
        <x:f>IF(COUNTIF(D61:D63,"W")+COUNTIF(D61:D63,"Q")&gt;0,1,0)</x:f>
        <x:v>1</x:v>
      </x:c>
      <x:c r="L84" s="18" t="n">
        <x:f>IF(COUNTIF(E61:E63,"W")+COUNTIF(E61:E63,"Q")&gt;0,1,0)</x:f>
        <x:v>1</x:v>
      </x:c>
      <x:c r="M84" s="18" t="n">
        <x:f>IF(COUNTIF(F61:F63,"W")+COUNTIF(F61:F63,"Q")&gt;0,1,0)</x:f>
        <x:v>1</x:v>
      </x:c>
      <x:c r="N84" s="18" t="str">
        <x:v>1=有W/圖案, 0=沒有</x:v>
      </x:c>
    </x:row>
    <x:row r="85">
      <x:c r="H85" s="18" t="n">
        <x:f>A62</x:f>
        <x:v>10</x:v>
      </x:c>
      <x:c r="I85" s="18" t="n">
        <x:f>IF(COUNTIF(B62:B64,"W")+COUNTIF(B62:B64,"Q")&gt;0,1,0)</x:f>
        <x:v>0</x:v>
      </x:c>
      <x:c r="J85" s="18" t="n">
        <x:f>IF(COUNTIF(C62:C64,"W")+COUNTIF(C62:C64,"Q")&gt;0,1,0)</x:f>
        <x:v>0</x:v>
      </x:c>
      <x:c r="K85" s="18" t="n">
        <x:f>IF(COUNTIF(D62:D64,"W")+COUNTIF(D62:D64,"Q")&gt;0,1,0)</x:f>
        <x:v>0</x:v>
      </x:c>
      <x:c r="L85" s="18" t="n">
        <x:f>IF(COUNTIF(E62:E64,"W")+COUNTIF(E62:E64,"Q")&gt;0,1,0)</x:f>
        <x:v>0</x:v>
      </x:c>
      <x:c r="M85" s="18" t="n">
        <x:f>IF(COUNTIF(F62:F64,"W")+COUNTIF(F62:F64,"Q")&gt;0,1,0)</x:f>
        <x:v>0</x:v>
      </x:c>
      <x:c r="N85" s="18" t="str">
        <x:v>1=有W/圖案, 0=沒有</x:v>
      </x:c>
    </x:row>
    <x:row r="86">
      <x:c r="H86" s="18" t="n">
        <x:f>A63</x:f>
        <x:v>11</x:v>
      </x:c>
      <x:c r="I86" s="18" t="n">
        <x:f>IF(COUNTIF(B63:B65,"W")+COUNTIF(B63:B65,"Q")&gt;0,1,0)</x:f>
        <x:v>1</x:v>
      </x:c>
      <x:c r="J86" s="18" t="n">
        <x:f>IF(COUNTIF(C63:C65,"W")+COUNTIF(C63:C65,"Q")&gt;0,1,0)</x:f>
        <x:v>0</x:v>
      </x:c>
      <x:c r="K86" s="18" t="n">
        <x:f>IF(COUNTIF(D63:D65,"W")+COUNTIF(D63:D65,"Q")&gt;0,1,0)</x:f>
        <x:v>0</x:v>
      </x:c>
      <x:c r="L86" s="18" t="n">
        <x:f>IF(COUNTIF(E63:E65,"W")+COUNTIF(E63:E65,"Q")&gt;0,1,0)</x:f>
        <x:v>0</x:v>
      </x:c>
      <x:c r="M86" s="18" t="n">
        <x:f>IF(COUNTIF(F63:F65,"W")+COUNTIF(F63:F65,"Q")&gt;0,1,0)</x:f>
        <x:v>0</x:v>
      </x:c>
      <x:c r="N86" s="18" t="str">
        <x:v>1=有W/圖案, 0=沒有</x:v>
      </x:c>
    </x:row>
    <x:row r="87">
      <x:c r="H87" s="18" t="n">
        <x:f>A64</x:f>
        <x:v>12</x:v>
      </x:c>
      <x:c r="I87" s="18" t="n">
        <x:f>IF(COUNTIF(B64:B66,"W")+COUNTIF(B64:B66,"Q")&gt;0,1,0)</x:f>
        <x:v>1</x:v>
      </x:c>
      <x:c r="J87" s="18" t="n">
        <x:f>IF(COUNTIF(C64:C66,"W")+COUNTIF(C64:C66,"Q")&gt;0,1,0)</x:f>
        <x:v>1</x:v>
      </x:c>
      <x:c r="K87" s="18" t="n">
        <x:f>IF(COUNTIF(D64:D66,"W")+COUNTIF(D64:D66,"Q")&gt;0,1,0)</x:f>
        <x:v>1</x:v>
      </x:c>
      <x:c r="L87" s="18" t="n">
        <x:f>IF(COUNTIF(E64:E66,"W")+COUNTIF(E64:E66,"Q")&gt;0,1,0)</x:f>
        <x:v>1</x:v>
      </x:c>
      <x:c r="M87" s="18" t="n">
        <x:f>IF(COUNTIF(F64:F66,"W")+COUNTIF(F64:F66,"Q")&gt;0,1,0)</x:f>
        <x:v>1</x:v>
      </x:c>
      <x:c r="N87" s="18" t="str">
        <x:v>1=有W/圖案, 0=沒有</x:v>
      </x:c>
    </x:row>
    <x:row r="88">
      <x:c r="H88" s="18" t="n">
        <x:f>A65</x:f>
        <x:v>13</x:v>
      </x:c>
      <x:c r="I88" s="18" t="n">
        <x:f>IF(COUNTIF(B65:B67,"W")+COUNTIF(B65:B67,"Q")&gt;0,1,0)</x:f>
        <x:v>1</x:v>
      </x:c>
      <x:c r="J88" s="18" t="n">
        <x:f>IF(COUNTIF(C65:C67,"W")+COUNTIF(C65:C67,"Q")&gt;0,1,0)</x:f>
        <x:v>1</x:v>
      </x:c>
      <x:c r="K88" s="18" t="n">
        <x:f>IF(COUNTIF(D65:D67,"W")+COUNTIF(D65:D67,"Q")&gt;0,1,0)</x:f>
        <x:v>1</x:v>
      </x:c>
      <x:c r="L88" s="18" t="n">
        <x:f>IF(COUNTIF(E65:E67,"W")+COUNTIF(E65:E67,"Q")&gt;0,1,0)</x:f>
        <x:v>1</x:v>
      </x:c>
      <x:c r="M88" s="18" t="n">
        <x:f>IF(COUNTIF(F65:F67,"W")+COUNTIF(F65:F67,"Q")&gt;0,1,0)</x:f>
        <x:v>1</x:v>
      </x:c>
      <x:c r="N88" s="18" t="str">
        <x:v>1=有W/圖案, 0=沒有</x:v>
      </x:c>
    </x:row>
    <x:row r="89">
      <x:c r="H89" s="18" t="n">
        <x:f>A66</x:f>
        <x:v>14</x:v>
      </x:c>
      <x:c r="I89" s="18" t="n">
        <x:f>IF(COUNTIF(B66:B68,"W")+COUNTIF(B66:B68,"Q")&gt;0,1,0)</x:f>
        <x:v>0</x:v>
      </x:c>
      <x:c r="J89" s="18" t="n">
        <x:f>IF(COUNTIF(C66:C68,"W")+COUNTIF(C66:C68,"Q")&gt;0,1,0)</x:f>
        <x:v>1</x:v>
      </x:c>
      <x:c r="K89" s="18" t="n">
        <x:f>IF(COUNTIF(D66:D68,"W")+COUNTIF(D66:D68,"Q")&gt;0,1,0)</x:f>
        <x:v>1</x:v>
      </x:c>
      <x:c r="L89" s="18" t="n">
        <x:f>IF(COUNTIF(E66:E68,"W")+COUNTIF(E66:E68,"Q")&gt;0,1,0)</x:f>
        <x:v>1</x:v>
      </x:c>
      <x:c r="M89" s="18" t="n">
        <x:f>IF(COUNTIF(F66:F68,"W")+COUNTIF(F66:F68,"Q")&gt;0,1,0)</x:f>
        <x:v>1</x:v>
      </x:c>
      <x:c r="N89" s="18" t="str">
        <x:v>1=有W/圖案, 0=沒有</x:v>
      </x:c>
    </x:row>
    <x:row r="90">
      <x:c r="H90" s="18" t="n">
        <x:f>A67</x:f>
        <x:v>15</x:v>
      </x:c>
      <x:c r="I90" s="18" t="n">
        <x:f>IF(COUNTIF(B67:B69,"W")+COUNTIF(B67:B69,"Q")&gt;0,1,0)</x:f>
        <x:v>0</x:v>
      </x:c>
      <x:c r="J90" s="18" t="n">
        <x:f>IF(COUNTIF(C67:C69,"W")+COUNTIF(C67:C69,"Q")&gt;0,1,0)</x:f>
        <x:v>0</x:v>
      </x:c>
      <x:c r="K90" s="18" t="n">
        <x:f>IF(COUNTIF(D67:D69,"W")+COUNTIF(D67:D69,"Q")&gt;0,1,0)</x:f>
        <x:v>0</x:v>
      </x:c>
      <x:c r="L90" s="18" t="n">
        <x:f>IF(COUNTIF(E67:E69,"W")+COUNTIF(E67:E69,"Q")&gt;0,1,0)</x:f>
        <x:v>0</x:v>
      </x:c>
      <x:c r="M90" s="18" t="n">
        <x:f>IF(COUNTIF(F67:F69,"W")+COUNTIF(F67:F69,"Q")&gt;0,1,0)</x:f>
        <x:v>0</x:v>
      </x:c>
      <x:c r="N90" s="18" t="str">
        <x:v>1=有W/圖案, 0=沒有</x:v>
      </x:c>
    </x:row>
    <x:row r="91">
      <x:c r="H91" s="18" t="n">
        <x:f>A68</x:f>
        <x:v>16</x:v>
      </x:c>
      <x:c r="I91" s="18" t="n">
        <x:f>IF(COUNTIF(B68:B70,"W")+COUNTIF(B68:B70,"Q")&gt;0,1,0)</x:f>
        <x:v>0</x:v>
      </x:c>
      <x:c r="J91" s="18" t="n">
        <x:f>IF(COUNTIF(C68:C70,"W")+COUNTIF(C68:C70,"Q")&gt;0,1,0)</x:f>
        <x:v>0</x:v>
      </x:c>
      <x:c r="K91" s="18" t="n">
        <x:f>IF(COUNTIF(D68:D70,"W")+COUNTIF(D68:D70,"Q")&gt;0,1,0)</x:f>
        <x:v>0</x:v>
      </x:c>
      <x:c r="L91" s="18" t="n">
        <x:f>IF(COUNTIF(E68:E70,"W")+COUNTIF(E68:E70,"Q")&gt;0,1,0)</x:f>
        <x:v>0</x:v>
      </x:c>
      <x:c r="M91" s="18" t="n">
        <x:f>IF(COUNTIF(F68:F70,"W")+COUNTIF(F68:F70,"Q")&gt;0,1,0)</x:f>
        <x:v>0</x:v>
      </x:c>
      <x:c r="N91" s="18" t="str">
        <x:v>1=有W/圖案, 0=沒有</x:v>
      </x:c>
    </x:row>
    <x:row r="92">
      <x:c r="H92" s="18" t="n">
        <x:f>A69</x:f>
        <x:v>17</x:v>
      </x:c>
      <x:c r="I92" s="18" t="n">
        <x:f>IF(COUNTIF(B69:B71,"W")+COUNTIF(B69:B71,"Q")&gt;0,1,0)</x:f>
        <x:v>0</x:v>
      </x:c>
      <x:c r="J92" s="18" t="n">
        <x:f>IF(COUNTIF(C69:C71,"W")+COUNTIF(C69:C71,"Q")&gt;0,1,0)</x:f>
        <x:v>0</x:v>
      </x:c>
      <x:c r="K92" s="18" t="n">
        <x:f>IF(COUNTIF(D69:D71,"W")+COUNTIF(D69:D71,"Q")&gt;0,1,0)</x:f>
        <x:v>0</x:v>
      </x:c>
      <x:c r="L92" s="18" t="n">
        <x:f>IF(COUNTIF(E69:E71,"W")+COUNTIF(E69:E71,"Q")&gt;0,1,0)</x:f>
        <x:v>0</x:v>
      </x:c>
      <x:c r="M92" s="18" t="n">
        <x:f>IF(COUNTIF(F69:F71,"W")+COUNTIF(F69:F71,"Q")&gt;0,1,0)</x:f>
        <x:v>0</x:v>
      </x:c>
      <x:c r="N92" s="18" t="str">
        <x:v>1=有W/圖案, 0=沒有</x:v>
      </x:c>
    </x:row>
    <x:row r="93">
      <x:c r="H93" s="18" t="n">
        <x:f>A70</x:f>
        <x:v>18</x:v>
      </x:c>
      <x:c r="I93" s="18" t="n">
        <x:f>IF(COUNTIF(B70:B72,"W")+COUNTIF(B70:B72,"Q")&gt;0,1,0)</x:f>
        <x:v>0</x:v>
      </x:c>
      <x:c r="J93" s="18" t="n">
        <x:f>IF(COUNTIF(C70:C72,"W")+COUNTIF(C70:C72,"Q")&gt;0,1,0)</x:f>
        <x:v>0</x:v>
      </x:c>
      <x:c r="K93" s="18" t="n">
        <x:f>IF(COUNTIF(D70:D72,"W")+COUNTIF(D70:D72,"Q")&gt;0,1,0)</x:f>
        <x:v>0</x:v>
      </x:c>
      <x:c r="L93" s="18" t="n">
        <x:f>IF(COUNTIF(E70:E72,"W")+COUNTIF(E70:E72,"Q")&gt;0,1,0)</x:f>
        <x:v>0</x:v>
      </x:c>
      <x:c r="M93" s="18" t="n">
        <x:f>IF(COUNTIF(F70:F72,"W")+COUNTIF(F70:F72,"Q")&gt;0,1,0)</x:f>
        <x:v>0</x:v>
      </x:c>
      <x:c r="N93" s="18" t="str">
        <x:v>1=有W/圖案, 0=沒有</x:v>
      </x:c>
    </x:row>
    <x:row r="94">
      <x:c r="H94" s="18" t="n">
        <x:f>A71</x:f>
        <x:v>19</x:v>
      </x:c>
      <x:c r="I94" s="18" t="n">
        <x:f>IF(COUNTIF(B71:B73,"W")+COUNTIF(B71:B73,"Q")&gt;0,1,0)</x:f>
        <x:v>0</x:v>
      </x:c>
      <x:c r="J94" s="18" t="n">
        <x:f>IF(COUNTIF(C71:C73,"W")+COUNTIF(C71:C73,"Q")&gt;0,1,0)</x:f>
        <x:v>1</x:v>
      </x:c>
      <x:c r="K94" s="18" t="n">
        <x:f>IF(COUNTIF(D71:D73,"W")+COUNTIF(D71:D73,"Q")&gt;0,1,0)</x:f>
        <x:v>1</x:v>
      </x:c>
      <x:c r="L94" s="18" t="n">
        <x:f>IF(COUNTIF(E71:E73,"W")+COUNTIF(E71:E73,"Q")&gt;0,1,0)</x:f>
        <x:v>1</x:v>
      </x:c>
      <x:c r="M94" s="18" t="n">
        <x:f>IF(COUNTIF(F71:F73,"W")+COUNTIF(F71:F73,"Q")&gt;0,1,0)</x:f>
        <x:v>1</x:v>
      </x:c>
      <x:c r="N94" s="18" t="str">
        <x:v>1=有W/圖案, 0=沒有</x:v>
      </x:c>
    </x:row>
    <x:row r="95">
      <x:c r="H95" s="18" t="n">
        <x:f>A72</x:f>
        <x:v>20</x:v>
      </x:c>
      <x:c r="I95" s="18" t="n">
        <x:f>IF(COUNTIF(B72:B74,"W")+COUNTIF(B72:B74,"Q")&gt;0,1,0)</x:f>
        <x:v>1</x:v>
      </x:c>
      <x:c r="J95" s="18" t="n">
        <x:f>IF(COUNTIF(C72:C74,"W")+COUNTIF(C72:C74,"Q")&gt;0,1,0)</x:f>
        <x:v>1</x:v>
      </x:c>
      <x:c r="K95" s="18" t="n">
        <x:f>IF(COUNTIF(D72:D74,"W")+COUNTIF(D72:D74,"Q")&gt;0,1,0)</x:f>
        <x:v>1</x:v>
      </x:c>
      <x:c r="L95" s="18" t="n">
        <x:f>IF(COUNTIF(E72:E74,"W")+COUNTIF(E72:E74,"Q")&gt;0,1,0)</x:f>
        <x:v>1</x:v>
      </x:c>
      <x:c r="M95" s="18" t="n">
        <x:f>IF(COUNTIF(F72:F74,"W")+COUNTIF(F72:F74,"Q")&gt;0,1,0)</x:f>
        <x:v>1</x:v>
      </x:c>
      <x:c r="N95" s="18" t="str">
        <x:v>1=有W/圖案, 0=沒有</x:v>
      </x:c>
    </x:row>
    <x:row r="96">
      <x:c r="H96" s="23" t="str">
        <x:v>X_WJ 判斷表</x:v>
      </x:c>
      <x:c r="I96" s="23" t="str">
        <x:v>X_WJ 判斷表</x:v>
      </x:c>
      <x:c r="J96" s="23" t="str">
        <x:v>X_WJ 判斷表</x:v>
      </x:c>
      <x:c r="K96" s="23" t="str">
        <x:v>X_WJ 判斷表</x:v>
      </x:c>
      <x:c r="L96" s="23" t="str">
        <x:v>X_WJ 判斷表</x:v>
      </x:c>
      <x:c r="M96" s="23" t="str">
        <x:v>X_WJ 判斷表</x:v>
      </x:c>
      <x:c r="N96" s="23" t="str">
        <x:v>X_WJ 判斷表</x:v>
      </x:c>
    </x:row>
    <x:row r="97">
      <x:c r="H97" s="16" t="str">
        <x:v>stop</x:v>
      </x:c>
      <x:c r="I97" s="16" t="str">
        <x:v>轉輪1</x:v>
      </x:c>
      <x:c r="J97" s="16" t="str">
        <x:v>轉輪2</x:v>
      </x:c>
      <x:c r="K97" s="16" t="str">
        <x:v>轉輪3</x:v>
      </x:c>
      <x:c r="L97" s="16" t="str">
        <x:v>轉輪4</x:v>
      </x:c>
      <x:c r="M97" s="16" t="str">
        <x:v>轉輪5</x:v>
      </x:c>
      <x:c r="N97" s="16" t="str">
        <x:v>判斷</x:v>
      </x:c>
    </x:row>
    <x:row r="98">
      <x:c r="H98" s="18" t="n">
        <x:f>A53</x:f>
        <x:v>1</x:v>
      </x:c>
      <x:c r="I98" s="18" t="n">
        <x:f>IF(COUNTIF(B53:B55,"W")+COUNTIF(B53:B55,"J")&gt;0,1,0)</x:f>
        <x:v>1</x:v>
      </x:c>
      <x:c r="J98" s="18" t="n">
        <x:f>IF(COUNTIF(C53:C55,"W")+COUNTIF(C53:C55,"J")&gt;0,1,0)</x:f>
        <x:v>1</x:v>
      </x:c>
      <x:c r="K98" s="18" t="n">
        <x:f>IF(COUNTIF(D53:D55,"W")+COUNTIF(D53:D55,"J")&gt;0,1,0)</x:f>
        <x:v>1</x:v>
      </x:c>
      <x:c r="L98" s="18" t="n">
        <x:f>IF(COUNTIF(E53:E55,"W")+COUNTIF(E53:E55,"J")&gt;0,1,0)</x:f>
        <x:v>1</x:v>
      </x:c>
      <x:c r="M98" s="18" t="n">
        <x:f>IF(COUNTIF(F53:F55,"W")+COUNTIF(F53:F55,"J")&gt;0,1,0)</x:f>
        <x:v>1</x:v>
      </x:c>
      <x:c r="N98" s="18" t="str">
        <x:v>1=有W/圖案, 0=沒有</x:v>
      </x:c>
    </x:row>
    <x:row r="99">
      <x:c r="H99" s="18" t="n">
        <x:f>A54</x:f>
        <x:v>2</x:v>
      </x:c>
      <x:c r="I99" s="18" t="n">
        <x:f>IF(COUNTIF(B54:B56,"W")+COUNTIF(B54:B56,"J")&gt;0,1,0)</x:f>
        <x:v>1</x:v>
      </x:c>
      <x:c r="J99" s="18" t="n">
        <x:f>IF(COUNTIF(C54:C56,"W")+COUNTIF(C54:C56,"J")&gt;0,1,0)</x:f>
        <x:v>1</x:v>
      </x:c>
      <x:c r="K99" s="18" t="n">
        <x:f>IF(COUNTIF(D54:D56,"W")+COUNTIF(D54:D56,"J")&gt;0,1,0)</x:f>
        <x:v>1</x:v>
      </x:c>
      <x:c r="L99" s="18" t="n">
        <x:f>IF(COUNTIF(E54:E56,"W")+COUNTIF(E54:E56,"J")&gt;0,1,0)</x:f>
        <x:v>1</x:v>
      </x:c>
      <x:c r="M99" s="18" t="n">
        <x:f>IF(COUNTIF(F54:F56,"W")+COUNTIF(F54:F56,"J")&gt;0,1,0)</x:f>
        <x:v>1</x:v>
      </x:c>
      <x:c r="N99" s="18" t="str">
        <x:v>1=有W/圖案, 0=沒有</x:v>
      </x:c>
    </x:row>
    <x:row r="100">
      <x:c r="H100" s="18" t="n">
        <x:f>A55</x:f>
        <x:v>3</x:v>
      </x:c>
      <x:c r="I100" s="18" t="n">
        <x:f>IF(COUNTIF(B55:B57,"W")+COUNTIF(B55:B57,"J")&gt;0,1,0)</x:f>
        <x:v>1</x:v>
      </x:c>
      <x:c r="J100" s="18" t="n">
        <x:f>IF(COUNTIF(C55:C57,"W")+COUNTIF(C55:C57,"J")&gt;0,1,0)</x:f>
        <x:v>1</x:v>
      </x:c>
      <x:c r="K100" s="18" t="n">
        <x:f>IF(COUNTIF(D55:D57,"W")+COUNTIF(D55:D57,"J")&gt;0,1,0)</x:f>
        <x:v>1</x:v>
      </x:c>
      <x:c r="L100" s="18" t="n">
        <x:f>IF(COUNTIF(E55:E57,"W")+COUNTIF(E55:E57,"J")&gt;0,1,0)</x:f>
        <x:v>1</x:v>
      </x:c>
      <x:c r="M100" s="18" t="n">
        <x:f>IF(COUNTIF(F55:F57,"W")+COUNTIF(F55:F57,"J")&gt;0,1,0)</x:f>
        <x:v>1</x:v>
      </x:c>
      <x:c r="N100" s="18" t="str">
        <x:v>1=有W/圖案, 0=沒有</x:v>
      </x:c>
    </x:row>
    <x:row r="101">
      <x:c r="H101" s="18" t="n">
        <x:f>A56</x:f>
        <x:v>4</x:v>
      </x:c>
      <x:c r="I101" s="18" t="n">
        <x:f>IF(COUNTIF(B56:B58,"W")+COUNTIF(B56:B58,"J")&gt;0,1,0)</x:f>
        <x:v>0</x:v>
      </x:c>
      <x:c r="J101" s="18" t="n">
        <x:f>IF(COUNTIF(C56:C58,"W")+COUNTIF(C56:C58,"J")&gt;0,1,0)</x:f>
        <x:v>1</x:v>
      </x:c>
      <x:c r="K101" s="18" t="n">
        <x:f>IF(COUNTIF(D56:D58,"W")+COUNTIF(D56:D58,"J")&gt;0,1,0)</x:f>
        <x:v>1</x:v>
      </x:c>
      <x:c r="L101" s="18" t="n">
        <x:f>IF(COUNTIF(E56:E58,"W")+COUNTIF(E56:E58,"J")&gt;0,1,0)</x:f>
        <x:v>1</x:v>
      </x:c>
      <x:c r="M101" s="18" t="n">
        <x:f>IF(COUNTIF(F56:F58,"W")+COUNTIF(F56:F58,"J")&gt;0,1,0)</x:f>
        <x:v>1</x:v>
      </x:c>
      <x:c r="N101" s="18" t="str">
        <x:v>1=有W/圖案, 0=沒有</x:v>
      </x:c>
    </x:row>
    <x:row r="102">
      <x:c r="H102" s="18" t="n">
        <x:f>A57</x:f>
        <x:v>5</x:v>
      </x:c>
      <x:c r="I102" s="18" t="n">
        <x:f>IF(COUNTIF(B57:B59,"W")+COUNTIF(B57:B59,"J")&gt;0,1,0)</x:f>
        <x:v>0</x:v>
      </x:c>
      <x:c r="J102" s="18" t="n">
        <x:f>IF(COUNTIF(C57:C59,"W")+COUNTIF(C57:C59,"J")&gt;0,1,0)</x:f>
        <x:v>0</x:v>
      </x:c>
      <x:c r="K102" s="18" t="n">
        <x:f>IF(COUNTIF(D57:D59,"W")+COUNTIF(D57:D59,"J")&gt;0,1,0)</x:f>
        <x:v>0</x:v>
      </x:c>
      <x:c r="L102" s="18" t="n">
        <x:f>IF(COUNTIF(E57:E59,"W")+COUNTIF(E57:E59,"J")&gt;0,1,0)</x:f>
        <x:v>0</x:v>
      </x:c>
      <x:c r="M102" s="18" t="n">
        <x:f>IF(COUNTIF(F57:F59,"W")+COUNTIF(F57:F59,"J")&gt;0,1,0)</x:f>
        <x:v>0</x:v>
      </x:c>
      <x:c r="N102" s="18" t="str">
        <x:v>1=有W/圖案, 0=沒有</x:v>
      </x:c>
    </x:row>
    <x:row r="103">
      <x:c r="H103" s="18" t="n">
        <x:f>A58</x:f>
        <x:v>6</x:v>
      </x:c>
      <x:c r="I103" s="18" t="n">
        <x:f>IF(COUNTIF(B58:B60,"W")+COUNTIF(B58:B60,"J")&gt;0,1,0)</x:f>
        <x:v>0</x:v>
      </x:c>
      <x:c r="J103" s="18" t="n">
        <x:f>IF(COUNTIF(C58:C60,"W")+COUNTIF(C58:C60,"J")&gt;0,1,0)</x:f>
        <x:v>0</x:v>
      </x:c>
      <x:c r="K103" s="18" t="n">
        <x:f>IF(COUNTIF(D58:D60,"W")+COUNTIF(D58:D60,"J")&gt;0,1,0)</x:f>
        <x:v>0</x:v>
      </x:c>
      <x:c r="L103" s="18" t="n">
        <x:f>IF(COUNTIF(E58:E60,"W")+COUNTIF(E58:E60,"J")&gt;0,1,0)</x:f>
        <x:v>0</x:v>
      </x:c>
      <x:c r="M103" s="18" t="n">
        <x:f>IF(COUNTIF(F58:F60,"W")+COUNTIF(F58:F60,"J")&gt;0,1,0)</x:f>
        <x:v>0</x:v>
      </x:c>
      <x:c r="N103" s="18" t="str">
        <x:v>1=有W/圖案, 0=沒有</x:v>
      </x:c>
    </x:row>
    <x:row r="104">
      <x:c r="H104" s="18" t="n">
        <x:f>A59</x:f>
        <x:v>7</x:v>
      </x:c>
      <x:c r="I104" s="18" t="n">
        <x:f>IF(COUNTIF(B59:B61,"W")+COUNTIF(B59:B61,"J")&gt;0,1,0)</x:f>
        <x:v>1</x:v>
      </x:c>
      <x:c r="J104" s="18" t="n">
        <x:f>IF(COUNTIF(C59:C61,"W")+COUNTIF(C59:C61,"J")&gt;0,1,0)</x:f>
        <x:v>0</x:v>
      </x:c>
      <x:c r="K104" s="18" t="n">
        <x:f>IF(COUNTIF(D59:D61,"W")+COUNTIF(D59:D61,"J")&gt;0,1,0)</x:f>
        <x:v>0</x:v>
      </x:c>
      <x:c r="L104" s="18" t="n">
        <x:f>IF(COUNTIF(E59:E61,"W")+COUNTIF(E59:E61,"J")&gt;0,1,0)</x:f>
        <x:v>0</x:v>
      </x:c>
      <x:c r="M104" s="18" t="n">
        <x:f>IF(COUNTIF(F59:F61,"W")+COUNTIF(F59:F61,"J")&gt;0,1,0)</x:f>
        <x:v>0</x:v>
      </x:c>
      <x:c r="N104" s="18" t="str">
        <x:v>1=有W/圖案, 0=沒有</x:v>
      </x:c>
    </x:row>
    <x:row r="105">
      <x:c r="H105" s="18" t="n">
        <x:f>A60</x:f>
        <x:v>8</x:v>
      </x:c>
      <x:c r="I105" s="18" t="n">
        <x:f>IF(COUNTIF(B60:B62,"W")+COUNTIF(B60:B62,"J")&gt;0,1,0)</x:f>
        <x:v>1</x:v>
      </x:c>
      <x:c r="J105" s="18" t="n">
        <x:f>IF(COUNTIF(C60:C62,"W")+COUNTIF(C60:C62,"J")&gt;0,1,0)</x:f>
        <x:v>1</x:v>
      </x:c>
      <x:c r="K105" s="18" t="n">
        <x:f>IF(COUNTIF(D60:D62,"W")+COUNTIF(D60:D62,"J")&gt;0,1,0)</x:f>
        <x:v>1</x:v>
      </x:c>
      <x:c r="L105" s="18" t="n">
        <x:f>IF(COUNTIF(E60:E62,"W")+COUNTIF(E60:E62,"J")&gt;0,1,0)</x:f>
        <x:v>1</x:v>
      </x:c>
      <x:c r="M105" s="18" t="n">
        <x:f>IF(COUNTIF(F60:F62,"W")+COUNTIF(F60:F62,"J")&gt;0,1,0)</x:f>
        <x:v>1</x:v>
      </x:c>
      <x:c r="N105" s="18" t="str">
        <x:v>1=有W/圖案, 0=沒有</x:v>
      </x:c>
    </x:row>
    <x:row r="106">
      <x:c r="H106" s="18" t="n">
        <x:f>A61</x:f>
        <x:v>9</x:v>
      </x:c>
      <x:c r="I106" s="18" t="n">
        <x:f>IF(COUNTIF(B61:B63,"W")+COUNTIF(B61:B63,"J")&gt;0,1,0)</x:f>
        <x:v>1</x:v>
      </x:c>
      <x:c r="J106" s="18" t="n">
        <x:f>IF(COUNTIF(C61:C63,"W")+COUNTIF(C61:C63,"J")&gt;0,1,0)</x:f>
        <x:v>1</x:v>
      </x:c>
      <x:c r="K106" s="18" t="n">
        <x:f>IF(COUNTIF(D61:D63,"W")+COUNTIF(D61:D63,"J")&gt;0,1,0)</x:f>
        <x:v>1</x:v>
      </x:c>
      <x:c r="L106" s="18" t="n">
        <x:f>IF(COUNTIF(E61:E63,"W")+COUNTIF(E61:E63,"J")&gt;0,1,0)</x:f>
        <x:v>1</x:v>
      </x:c>
      <x:c r="M106" s="18" t="n">
        <x:f>IF(COUNTIF(F61:F63,"W")+COUNTIF(F61:F63,"J")&gt;0,1,0)</x:f>
        <x:v>1</x:v>
      </x:c>
      <x:c r="N106" s="18" t="str">
        <x:v>1=有W/圖案, 0=沒有</x:v>
      </x:c>
    </x:row>
    <x:row r="107">
      <x:c r="H107" s="18" t="n">
        <x:f>A62</x:f>
        <x:v>10</x:v>
      </x:c>
      <x:c r="I107" s="18" t="n">
        <x:f>IF(COUNTIF(B62:B64,"W")+COUNTIF(B62:B64,"J")&gt;0,1,0)</x:f>
        <x:v>0</x:v>
      </x:c>
      <x:c r="J107" s="18" t="n">
        <x:f>IF(COUNTIF(C62:C64,"W")+COUNTIF(C62:C64,"J")&gt;0,1,0)</x:f>
        <x:v>1</x:v>
      </x:c>
      <x:c r="K107" s="18" t="n">
        <x:f>IF(COUNTIF(D62:D64,"W")+COUNTIF(D62:D64,"J")&gt;0,1,0)</x:f>
        <x:v>1</x:v>
      </x:c>
      <x:c r="L107" s="18" t="n">
        <x:f>IF(COUNTIF(E62:E64,"W")+COUNTIF(E62:E64,"J")&gt;0,1,0)</x:f>
        <x:v>1</x:v>
      </x:c>
      <x:c r="M107" s="18" t="n">
        <x:f>IF(COUNTIF(F62:F64,"W")+COUNTIF(F62:F64,"J")&gt;0,1,0)</x:f>
        <x:v>1</x:v>
      </x:c>
      <x:c r="N107" s="18" t="str">
        <x:v>1=有W/圖案, 0=沒有</x:v>
      </x:c>
    </x:row>
    <x:row r="108">
      <x:c r="H108" s="18" t="n">
        <x:f>A63</x:f>
        <x:v>11</x:v>
      </x:c>
      <x:c r="I108" s="18" t="n">
        <x:f>IF(COUNTIF(B63:B65,"W")+COUNTIF(B63:B65,"J")&gt;0,1,0)</x:f>
        <x:v>0</x:v>
      </x:c>
      <x:c r="J108" s="18" t="n">
        <x:f>IF(COUNTIF(C63:C65,"W")+COUNTIF(C63:C65,"J")&gt;0,1,0)</x:f>
        <x:v>0</x:v>
      </x:c>
      <x:c r="K108" s="18" t="n">
        <x:f>IF(COUNTIF(D63:D65,"W")+COUNTIF(D63:D65,"J")&gt;0,1,0)</x:f>
        <x:v>0</x:v>
      </x:c>
      <x:c r="L108" s="18" t="n">
        <x:f>IF(COUNTIF(E63:E65,"W")+COUNTIF(E63:E65,"J")&gt;0,1,0)</x:f>
        <x:v>0</x:v>
      </x:c>
      <x:c r="M108" s="18" t="n">
        <x:f>IF(COUNTIF(F63:F65,"W")+COUNTIF(F63:F65,"J")&gt;0,1,0)</x:f>
        <x:v>0</x:v>
      </x:c>
      <x:c r="N108" s="18" t="str">
        <x:v>1=有W/圖案, 0=沒有</x:v>
      </x:c>
    </x:row>
    <x:row r="109">
      <x:c r="H109" s="18" t="n">
        <x:f>A64</x:f>
        <x:v>12</x:v>
      </x:c>
      <x:c r="I109" s="18" t="n">
        <x:f>IF(COUNTIF(B64:B66,"W")+COUNTIF(B64:B66,"J")&gt;0,1,0)</x:f>
        <x:v>1</x:v>
      </x:c>
      <x:c r="J109" s="18" t="n">
        <x:f>IF(COUNTIF(C64:C66,"W")+COUNTIF(C64:C66,"J")&gt;0,1,0)</x:f>
        <x:v>0</x:v>
      </x:c>
      <x:c r="K109" s="18" t="n">
        <x:f>IF(COUNTIF(D64:D66,"W")+COUNTIF(D64:D66,"J")&gt;0,1,0)</x:f>
        <x:v>0</x:v>
      </x:c>
      <x:c r="L109" s="18" t="n">
        <x:f>IF(COUNTIF(E64:E66,"W")+COUNTIF(E64:E66,"J")&gt;0,1,0)</x:f>
        <x:v>0</x:v>
      </x:c>
      <x:c r="M109" s="18" t="n">
        <x:f>IF(COUNTIF(F64:F66,"W")+COUNTIF(F64:F66,"J")&gt;0,1,0)</x:f>
        <x:v>0</x:v>
      </x:c>
      <x:c r="N109" s="18" t="str">
        <x:v>1=有W/圖案, 0=沒有</x:v>
      </x:c>
    </x:row>
    <x:row r="110">
      <x:c r="H110" s="18" t="n">
        <x:f>A65</x:f>
        <x:v>13</x:v>
      </x:c>
      <x:c r="I110" s="18" t="n">
        <x:f>IF(COUNTIF(B65:B67,"W")+COUNTIF(B65:B67,"J")&gt;0,1,0)</x:f>
        <x:v>1</x:v>
      </x:c>
      <x:c r="J110" s="18" t="n">
        <x:f>IF(COUNTIF(C65:C67,"W")+COUNTIF(C65:C67,"J")&gt;0,1,0)</x:f>
        <x:v>1</x:v>
      </x:c>
      <x:c r="K110" s="18" t="n">
        <x:f>IF(COUNTIF(D65:D67,"W")+COUNTIF(D65:D67,"J")&gt;0,1,0)</x:f>
        <x:v>1</x:v>
      </x:c>
      <x:c r="L110" s="18" t="n">
        <x:f>IF(COUNTIF(E65:E67,"W")+COUNTIF(E65:E67,"J")&gt;0,1,0)</x:f>
        <x:v>1</x:v>
      </x:c>
      <x:c r="M110" s="18" t="n">
        <x:f>IF(COUNTIF(F65:F67,"W")+COUNTIF(F65:F67,"J")&gt;0,1,0)</x:f>
        <x:v>1</x:v>
      </x:c>
      <x:c r="N110" s="18" t="str">
        <x:v>1=有W/圖案, 0=沒有</x:v>
      </x:c>
    </x:row>
    <x:row r="111">
      <x:c r="H111" s="18" t="n">
        <x:f>A66</x:f>
        <x:v>14</x:v>
      </x:c>
      <x:c r="I111" s="18" t="n">
        <x:f>IF(COUNTIF(B66:B68,"W")+COUNTIF(B66:B68,"J")&gt;0,1,0)</x:f>
        <x:v>1</x:v>
      </x:c>
      <x:c r="J111" s="18" t="n">
        <x:f>IF(COUNTIF(C66:C68,"W")+COUNTIF(C66:C68,"J")&gt;0,1,0)</x:f>
        <x:v>1</x:v>
      </x:c>
      <x:c r="K111" s="18" t="n">
        <x:f>IF(COUNTIF(D66:D68,"W")+COUNTIF(D66:D68,"J")&gt;0,1,0)</x:f>
        <x:v>1</x:v>
      </x:c>
      <x:c r="L111" s="18" t="n">
        <x:f>IF(COUNTIF(E66:E68,"W")+COUNTIF(E66:E68,"J")&gt;0,1,0)</x:f>
        <x:v>1</x:v>
      </x:c>
      <x:c r="M111" s="18" t="n">
        <x:f>IF(COUNTIF(F66:F68,"W")+COUNTIF(F66:F68,"J")&gt;0,1,0)</x:f>
        <x:v>1</x:v>
      </x:c>
      <x:c r="N111" s="18" t="str">
        <x:v>1=有W/圖案, 0=沒有</x:v>
      </x:c>
    </x:row>
    <x:row r="112">
      <x:c r="H112" s="18" t="n">
        <x:f>A67</x:f>
        <x:v>15</x:v>
      </x:c>
      <x:c r="I112" s="18" t="n">
        <x:f>IF(COUNTIF(B67:B69,"W")+COUNTIF(B67:B69,"J")&gt;0,1,0)</x:f>
        <x:v>0</x:v>
      </x:c>
      <x:c r="J112" s="18" t="n">
        <x:f>IF(COUNTIF(C67:C69,"W")+COUNTIF(C67:C69,"J")&gt;0,1,0)</x:f>
        <x:v>1</x:v>
      </x:c>
      <x:c r="K112" s="18" t="n">
        <x:f>IF(COUNTIF(D67:D69,"W")+COUNTIF(D67:D69,"J")&gt;0,1,0)</x:f>
        <x:v>1</x:v>
      </x:c>
      <x:c r="L112" s="18" t="n">
        <x:f>IF(COUNTIF(E67:E69,"W")+COUNTIF(E67:E69,"J")&gt;0,1,0)</x:f>
        <x:v>1</x:v>
      </x:c>
      <x:c r="M112" s="18" t="n">
        <x:f>IF(COUNTIF(F67:F69,"W")+COUNTIF(F67:F69,"J")&gt;0,1,0)</x:f>
        <x:v>1</x:v>
      </x:c>
      <x:c r="N112" s="18" t="str">
        <x:v>1=有W/圖案, 0=沒有</x:v>
      </x:c>
    </x:row>
    <x:row r="113">
      <x:c r="H113" s="18" t="n">
        <x:f>A68</x:f>
        <x:v>16</x:v>
      </x:c>
      <x:c r="I113" s="18" t="n">
        <x:f>IF(COUNTIF(B68:B70,"W")+COUNTIF(B68:B70,"J")&gt;0,1,0)</x:f>
        <x:v>1</x:v>
      </x:c>
      <x:c r="J113" s="18" t="n">
        <x:f>IF(COUNTIF(C68:C70,"W")+COUNTIF(C68:C70,"J")&gt;0,1,0)</x:f>
        <x:v>1</x:v>
      </x:c>
      <x:c r="K113" s="18" t="n">
        <x:f>IF(COUNTIF(D68:D70,"W")+COUNTIF(D68:D70,"J")&gt;0,1,0)</x:f>
        <x:v>1</x:v>
      </x:c>
      <x:c r="L113" s="18" t="n">
        <x:f>IF(COUNTIF(E68:E70,"W")+COUNTIF(E68:E70,"J")&gt;0,1,0)</x:f>
        <x:v>1</x:v>
      </x:c>
      <x:c r="M113" s="18" t="n">
        <x:f>IF(COUNTIF(F68:F70,"W")+COUNTIF(F68:F70,"J")&gt;0,1,0)</x:f>
        <x:v>1</x:v>
      </x:c>
      <x:c r="N113" s="18" t="str">
        <x:v>1=有W/圖案, 0=沒有</x:v>
      </x:c>
    </x:row>
    <x:row r="114">
      <x:c r="H114" s="18" t="n">
        <x:f>A69</x:f>
        <x:v>17</x:v>
      </x:c>
      <x:c r="I114" s="18" t="n">
        <x:f>IF(COUNTIF(B69:B71,"W")+COUNTIF(B69:B71,"J")&gt;0,1,0)</x:f>
        <x:v>1</x:v>
      </x:c>
      <x:c r="J114" s="18" t="n">
        <x:f>IF(COUNTIF(C69:C71,"W")+COUNTIF(C69:C71,"J")&gt;0,1,0)</x:f>
        <x:v>1</x:v>
      </x:c>
      <x:c r="K114" s="18" t="n">
        <x:f>IF(COUNTIF(D69:D71,"W")+COUNTIF(D69:D71,"J")&gt;0,1,0)</x:f>
        <x:v>1</x:v>
      </x:c>
      <x:c r="L114" s="18" t="n">
        <x:f>IF(COUNTIF(E69:E71,"W")+COUNTIF(E69:E71,"J")&gt;0,1,0)</x:f>
        <x:v>1</x:v>
      </x:c>
      <x:c r="M114" s="18" t="n">
        <x:f>IF(COUNTIF(F69:F71,"W")+COUNTIF(F69:F71,"J")&gt;0,1,0)</x:f>
        <x:v>1</x:v>
      </x:c>
      <x:c r="N114" s="18" t="str">
        <x:v>1=有W/圖案, 0=沒有</x:v>
      </x:c>
    </x:row>
    <x:row r="115">
      <x:c r="H115" s="18" t="n">
        <x:f>A70</x:f>
        <x:v>18</x:v>
      </x:c>
      <x:c r="I115" s="18" t="n">
        <x:f>IF(COUNTIF(B70:B72,"W")+COUNTIF(B70:B72,"J")&gt;0,1,0)</x:f>
        <x:v>1</x:v>
      </x:c>
      <x:c r="J115" s="18" t="n">
        <x:f>IF(COUNTIF(C70:C72,"W")+COUNTIF(C70:C72,"J")&gt;0,1,0)</x:f>
        <x:v>1</x:v>
      </x:c>
      <x:c r="K115" s="18" t="n">
        <x:f>IF(COUNTIF(D70:D72,"W")+COUNTIF(D70:D72,"J")&gt;0,1,0)</x:f>
        <x:v>1</x:v>
      </x:c>
      <x:c r="L115" s="18" t="n">
        <x:f>IF(COUNTIF(E70:E72,"W")+COUNTIF(E70:E72,"J")&gt;0,1,0)</x:f>
        <x:v>1</x:v>
      </x:c>
      <x:c r="M115" s="18" t="n">
        <x:f>IF(COUNTIF(F70:F72,"W")+COUNTIF(F70:F72,"J")&gt;0,1,0)</x:f>
        <x:v>1</x:v>
      </x:c>
      <x:c r="N115" s="18" t="str">
        <x:v>1=有W/圖案, 0=沒有</x:v>
      </x:c>
    </x:row>
    <x:row r="116">
      <x:c r="H116" s="18" t="n">
        <x:f>A71</x:f>
        <x:v>19</x:v>
      </x:c>
      <x:c r="I116" s="18" t="n">
        <x:f>IF(COUNTIF(B71:B73,"W")+COUNTIF(B71:B73,"J")&gt;0,1,0)</x:f>
        <x:v>0</x:v>
      </x:c>
      <x:c r="J116" s="18" t="n">
        <x:f>IF(COUNTIF(C71:C73,"W")+COUNTIF(C71:C73,"J")&gt;0,1,0)</x:f>
        <x:v>1</x:v>
      </x:c>
      <x:c r="K116" s="18" t="n">
        <x:f>IF(COUNTIF(D71:D73,"W")+COUNTIF(D71:D73,"J")&gt;0,1,0)</x:f>
        <x:v>1</x:v>
      </x:c>
      <x:c r="L116" s="18" t="n">
        <x:f>IF(COUNTIF(E71:E73,"W")+COUNTIF(E71:E73,"J")&gt;0,1,0)</x:f>
        <x:v>1</x:v>
      </x:c>
      <x:c r="M116" s="18" t="n">
        <x:f>IF(COUNTIF(F71:F73,"W")+COUNTIF(F71:F73,"J")&gt;0,1,0)</x:f>
        <x:v>1</x:v>
      </x:c>
      <x:c r="N116" s="18" t="str">
        <x:v>1=有W/圖案, 0=沒有</x:v>
      </x:c>
    </x:row>
    <x:row r="117">
      <x:c r="H117" s="18" t="n">
        <x:f>A72</x:f>
        <x:v>20</x:v>
      </x:c>
      <x:c r="I117" s="18" t="n">
        <x:f>IF(COUNTIF(B72:B74,"W")+COUNTIF(B72:B74,"J")&gt;0,1,0)</x:f>
        <x:v>0</x:v>
      </x:c>
      <x:c r="J117" s="18" t="n">
        <x:f>IF(COUNTIF(C72:C74,"W")+COUNTIF(C72:C74,"J")&gt;0,1,0)</x:f>
        <x:v>1</x:v>
      </x:c>
      <x:c r="K117" s="18" t="n">
        <x:f>IF(COUNTIF(D72:D74,"W")+COUNTIF(D72:D74,"J")&gt;0,1,0)</x:f>
        <x:v>1</x:v>
      </x:c>
      <x:c r="L117" s="18" t="n">
        <x:f>IF(COUNTIF(E72:E74,"W")+COUNTIF(E72:E74,"J")&gt;0,1,0)</x:f>
        <x:v>1</x:v>
      </x:c>
      <x:c r="M117" s="18" t="n">
        <x:f>IF(COUNTIF(F72:F74,"W")+COUNTIF(F72:F74,"J")&gt;0,1,0)</x:f>
        <x:v>1</x:v>
      </x:c>
      <x:c r="N117" s="18" t="str">
        <x:v>1=有W/圖案, 0=沒有</x:v>
      </x:c>
    </x:row>
    <x:row r="118">
      <x:c r="H118" s="23" t="str">
        <x:v>X_W10 判斷表</x:v>
      </x:c>
      <x:c r="I118" s="23" t="str">
        <x:v>X_W10 判斷表</x:v>
      </x:c>
      <x:c r="J118" s="23" t="str">
        <x:v>X_W10 判斷表</x:v>
      </x:c>
      <x:c r="K118" s="23" t="str">
        <x:v>X_W10 判斷表</x:v>
      </x:c>
      <x:c r="L118" s="23" t="str">
        <x:v>X_W10 判斷表</x:v>
      </x:c>
      <x:c r="M118" s="23" t="str">
        <x:v>X_W10 判斷表</x:v>
      </x:c>
      <x:c r="N118" s="23" t="str">
        <x:v>X_W10 判斷表</x:v>
      </x:c>
    </x:row>
    <x:row r="119">
      <x:c r="H119" s="16" t="str">
        <x:v>stop</x:v>
      </x:c>
      <x:c r="I119" s="16" t="str">
        <x:v>轉輪1</x:v>
      </x:c>
      <x:c r="J119" s="16" t="str">
        <x:v>轉輪2</x:v>
      </x:c>
      <x:c r="K119" s="16" t="str">
        <x:v>轉輪3</x:v>
      </x:c>
      <x:c r="L119" s="16" t="str">
        <x:v>轉輪4</x:v>
      </x:c>
      <x:c r="M119" s="16" t="str">
        <x:v>轉輪5</x:v>
      </x:c>
      <x:c r="N119" s="16" t="str">
        <x:v>判斷</x:v>
      </x:c>
    </x:row>
    <x:row r="120">
      <x:c r="H120" s="18" t="n">
        <x:f>A53</x:f>
        <x:v>1</x:v>
      </x:c>
      <x:c r="I120" s="18" t="n">
        <x:f>IF(COUNTIF(B53:B55,"W")+COUNTIF(B53:B55,"10")&gt;0,1,0)</x:f>
        <x:v>0</x:v>
      </x:c>
      <x:c r="J120" s="18" t="n">
        <x:f>IF(COUNTIF(C53:C55,"W")+COUNTIF(C53:C55,"10")&gt;0,1,0)</x:f>
        <x:v>1</x:v>
      </x:c>
      <x:c r="K120" s="18" t="n">
        <x:f>IF(COUNTIF(D53:D55,"W")+COUNTIF(D53:D55,"10")&gt;0,1,0)</x:f>
        <x:v>1</x:v>
      </x:c>
      <x:c r="L120" s="18" t="n">
        <x:f>IF(COUNTIF(E53:E55,"W")+COUNTIF(E53:E55,"10")&gt;0,1,0)</x:f>
        <x:v>1</x:v>
      </x:c>
      <x:c r="M120" s="18" t="n">
        <x:f>IF(COUNTIF(F53:F55,"W")+COUNTIF(F53:F55,"10")&gt;0,1,0)</x:f>
        <x:v>1</x:v>
      </x:c>
      <x:c r="N120" s="18" t="str">
        <x:v>1=有W/圖案, 0=沒有</x:v>
      </x:c>
    </x:row>
    <x:row r="121">
      <x:c r="H121" s="18" t="n">
        <x:f>A54</x:f>
        <x:v>2</x:v>
      </x:c>
      <x:c r="I121" s="18" t="n">
        <x:f>IF(COUNTIF(B54:B56,"W")+COUNTIF(B54:B56,"10")&gt;0,1,0)</x:f>
        <x:v>1</x:v>
      </x:c>
      <x:c r="J121" s="18" t="n">
        <x:f>IF(COUNTIF(C54:C56,"W")+COUNTIF(C54:C56,"10")&gt;0,1,0)</x:f>
        <x:v>0</x:v>
      </x:c>
      <x:c r="K121" s="18" t="n">
        <x:f>IF(COUNTIF(D54:D56,"W")+COUNTIF(D54:D56,"10")&gt;0,1,0)</x:f>
        <x:v>0</x:v>
      </x:c>
      <x:c r="L121" s="18" t="n">
        <x:f>IF(COUNTIF(E54:E56,"W")+COUNTIF(E54:E56,"10")&gt;0,1,0)</x:f>
        <x:v>0</x:v>
      </x:c>
      <x:c r="M121" s="18" t="n">
        <x:f>IF(COUNTIF(F54:F56,"W")+COUNTIF(F54:F56,"10")&gt;0,1,0)</x:f>
        <x:v>0</x:v>
      </x:c>
      <x:c r="N121" s="18" t="str">
        <x:v>1=有W/圖案, 0=沒有</x:v>
      </x:c>
    </x:row>
    <x:row r="122">
      <x:c r="H122" s="18" t="n">
        <x:f>A55</x:f>
        <x:v>3</x:v>
      </x:c>
      <x:c r="I122" s="18" t="n">
        <x:f>IF(COUNTIF(B55:B57,"W")+COUNTIF(B55:B57,"10")&gt;0,1,0)</x:f>
        <x:v>1</x:v>
      </x:c>
      <x:c r="J122" s="18" t="n">
        <x:f>IF(COUNTIF(C55:C57,"W")+COUNTIF(C55:C57,"10")&gt;0,1,0)</x:f>
        <x:v>1</x:v>
      </x:c>
      <x:c r="K122" s="18" t="n">
        <x:f>IF(COUNTIF(D55:D57,"W")+COUNTIF(D55:D57,"10")&gt;0,1,0)</x:f>
        <x:v>1</x:v>
      </x:c>
      <x:c r="L122" s="18" t="n">
        <x:f>IF(COUNTIF(E55:E57,"W")+COUNTIF(E55:E57,"10")&gt;0,1,0)</x:f>
        <x:v>1</x:v>
      </x:c>
      <x:c r="M122" s="18" t="n">
        <x:f>IF(COUNTIF(F55:F57,"W")+COUNTIF(F55:F57,"10")&gt;0,1,0)</x:f>
        <x:v>1</x:v>
      </x:c>
      <x:c r="N122" s="18" t="str">
        <x:v>1=有W/圖案, 0=沒有</x:v>
      </x:c>
    </x:row>
    <x:row r="123">
      <x:c r="H123" s="18" t="n">
        <x:f>A56</x:f>
        <x:v>4</x:v>
      </x:c>
      <x:c r="I123" s="18" t="n">
        <x:f>IF(COUNTIF(B56:B58,"W")+COUNTIF(B56:B58,"10")&gt;0,1,0)</x:f>
        <x:v>1</x:v>
      </x:c>
      <x:c r="J123" s="18" t="n">
        <x:f>IF(COUNTIF(C56:C58,"W")+COUNTIF(C56:C58,"10")&gt;0,1,0)</x:f>
        <x:v>1</x:v>
      </x:c>
      <x:c r="K123" s="18" t="n">
        <x:f>IF(COUNTIF(D56:D58,"W")+COUNTIF(D56:D58,"10")&gt;0,1,0)</x:f>
        <x:v>1</x:v>
      </x:c>
      <x:c r="L123" s="18" t="n">
        <x:f>IF(COUNTIF(E56:E58,"W")+COUNTIF(E56:E58,"10")&gt;0,1,0)</x:f>
        <x:v>1</x:v>
      </x:c>
      <x:c r="M123" s="18" t="n">
        <x:f>IF(COUNTIF(F56:F58,"W")+COUNTIF(F56:F58,"10")&gt;0,1,0)</x:f>
        <x:v>1</x:v>
      </x:c>
      <x:c r="N123" s="18" t="str">
        <x:v>1=有W/圖案, 0=沒有</x:v>
      </x:c>
    </x:row>
    <x:row r="124">
      <x:c r="H124" s="18" t="n">
        <x:f>A57</x:f>
        <x:v>5</x:v>
      </x:c>
      <x:c r="I124" s="18" t="n">
        <x:f>IF(COUNTIF(B57:B59,"W")+COUNTIF(B57:B59,"10")&gt;0,1,0)</x:f>
        <x:v>0</x:v>
      </x:c>
      <x:c r="J124" s="18" t="n">
        <x:f>IF(COUNTIF(C57:C59,"W")+COUNTIF(C57:C59,"10")&gt;0,1,0)</x:f>
        <x:v>1</x:v>
      </x:c>
      <x:c r="K124" s="18" t="n">
        <x:f>IF(COUNTIF(D57:D59,"W")+COUNTIF(D57:D59,"10")&gt;0,1,0)</x:f>
        <x:v>1</x:v>
      </x:c>
      <x:c r="L124" s="18" t="n">
        <x:f>IF(COUNTIF(E57:E59,"W")+COUNTIF(E57:E59,"10")&gt;0,1,0)</x:f>
        <x:v>1</x:v>
      </x:c>
      <x:c r="M124" s="18" t="n">
        <x:f>IF(COUNTIF(F57:F59,"W")+COUNTIF(F57:F59,"10")&gt;0,1,0)</x:f>
        <x:v>1</x:v>
      </x:c>
      <x:c r="N124" s="18" t="str">
        <x:v>1=有W/圖案, 0=沒有</x:v>
      </x:c>
    </x:row>
    <x:row r="125">
      <x:c r="H125" s="18" t="n">
        <x:f>A58</x:f>
        <x:v>6</x:v>
      </x:c>
      <x:c r="I125" s="18" t="n">
        <x:f>IF(COUNTIF(B58:B60,"W")+COUNTIF(B58:B60,"10")&gt;0,1,0)</x:f>
        <x:v>0</x:v>
      </x:c>
      <x:c r="J125" s="18" t="n">
        <x:f>IF(COUNTIF(C58:C60,"W")+COUNTIF(C58:C60,"10")&gt;0,1,0)</x:f>
        <x:v>0</x:v>
      </x:c>
      <x:c r="K125" s="18" t="n">
        <x:f>IF(COUNTIF(D58:D60,"W")+COUNTIF(D58:D60,"10")&gt;0,1,0)</x:f>
        <x:v>0</x:v>
      </x:c>
      <x:c r="L125" s="18" t="n">
        <x:f>IF(COUNTIF(E58:E60,"W")+COUNTIF(E58:E60,"10")&gt;0,1,0)</x:f>
        <x:v>0</x:v>
      </x:c>
      <x:c r="M125" s="18" t="n">
        <x:f>IF(COUNTIF(F58:F60,"W")+COUNTIF(F58:F60,"10")&gt;0,1,0)</x:f>
        <x:v>0</x:v>
      </x:c>
      <x:c r="N125" s="18" t="str">
        <x:v>1=有W/圖案, 0=沒有</x:v>
      </x:c>
    </x:row>
    <x:row r="126">
      <x:c r="H126" s="18" t="n">
        <x:f>A59</x:f>
        <x:v>7</x:v>
      </x:c>
      <x:c r="I126" s="18" t="n">
        <x:f>IF(COUNTIF(B59:B61,"W")+COUNTIF(B59:B61,"10")&gt;0,1,0)</x:f>
        <x:v>0</x:v>
      </x:c>
      <x:c r="J126" s="18" t="n">
        <x:f>IF(COUNTIF(C59:C61,"W")+COUNTIF(C59:C61,"10")&gt;0,1,0)</x:f>
        <x:v>0</x:v>
      </x:c>
      <x:c r="K126" s="18" t="n">
        <x:f>IF(COUNTIF(D59:D61,"W")+COUNTIF(D59:D61,"10")&gt;0,1,0)</x:f>
        <x:v>0</x:v>
      </x:c>
      <x:c r="L126" s="18" t="n">
        <x:f>IF(COUNTIF(E59:E61,"W")+COUNTIF(E59:E61,"10")&gt;0,1,0)</x:f>
        <x:v>0</x:v>
      </x:c>
      <x:c r="M126" s="18" t="n">
        <x:f>IF(COUNTIF(F59:F61,"W")+COUNTIF(F59:F61,"10")&gt;0,1,0)</x:f>
        <x:v>0</x:v>
      </x:c>
      <x:c r="N126" s="18" t="str">
        <x:v>1=有W/圖案, 0=沒有</x:v>
      </x:c>
    </x:row>
    <x:row r="127">
      <x:c r="H127" s="18" t="n">
        <x:f>A60</x:f>
        <x:v>8</x:v>
      </x:c>
      <x:c r="I127" s="18" t="n">
        <x:f>IF(COUNTIF(B60:B62,"W")+COUNTIF(B60:B62,"10")&gt;0,1,0)</x:f>
        <x:v>1</x:v>
      </x:c>
      <x:c r="J127" s="18" t="n">
        <x:f>IF(COUNTIF(C60:C62,"W")+COUNTIF(C60:C62,"10")&gt;0,1,0)</x:f>
        <x:v>0</x:v>
      </x:c>
      <x:c r="K127" s="18" t="n">
        <x:f>IF(COUNTIF(D60:D62,"W")+COUNTIF(D60:D62,"10")&gt;0,1,0)</x:f>
        <x:v>0</x:v>
      </x:c>
      <x:c r="L127" s="18" t="n">
        <x:f>IF(COUNTIF(E60:E62,"W")+COUNTIF(E60:E62,"10")&gt;0,1,0)</x:f>
        <x:v>0</x:v>
      </x:c>
      <x:c r="M127" s="18" t="n">
        <x:f>IF(COUNTIF(F60:F62,"W")+COUNTIF(F60:F62,"10")&gt;0,1,0)</x:f>
        <x:v>0</x:v>
      </x:c>
      <x:c r="N127" s="18" t="str">
        <x:v>1=有W/圖案, 0=沒有</x:v>
      </x:c>
    </x:row>
    <x:row r="128">
      <x:c r="H128" s="18" t="n">
        <x:f>A61</x:f>
        <x:v>9</x:v>
      </x:c>
      <x:c r="I128" s="18" t="n">
        <x:f>IF(COUNTIF(B61:B63,"W")+COUNTIF(B61:B63,"10")&gt;0,1,0)</x:f>
        <x:v>1</x:v>
      </x:c>
      <x:c r="J128" s="18" t="n">
        <x:f>IF(COUNTIF(C61:C63,"W")+COUNTIF(C61:C63,"10")&gt;0,1,0)</x:f>
        <x:v>1</x:v>
      </x:c>
      <x:c r="K128" s="18" t="n">
        <x:f>IF(COUNTIF(D61:D63,"W")+COUNTIF(D61:D63,"10")&gt;0,1,0)</x:f>
        <x:v>1</x:v>
      </x:c>
      <x:c r="L128" s="18" t="n">
        <x:f>IF(COUNTIF(E61:E63,"W")+COUNTIF(E61:E63,"10")&gt;0,1,0)</x:f>
        <x:v>1</x:v>
      </x:c>
      <x:c r="M128" s="18" t="n">
        <x:f>IF(COUNTIF(F61:F63,"W")+COUNTIF(F61:F63,"10")&gt;0,1,0)</x:f>
        <x:v>1</x:v>
      </x:c>
      <x:c r="N128" s="18" t="str">
        <x:v>1=有W/圖案, 0=沒有</x:v>
      </x:c>
    </x:row>
    <x:row r="129">
      <x:c r="H129" s="18" t="n">
        <x:f>A62</x:f>
        <x:v>10</x:v>
      </x:c>
      <x:c r="I129" s="18" t="n">
        <x:f>IF(COUNTIF(B62:B64,"W")+COUNTIF(B62:B64,"10")&gt;0,1,0)</x:f>
        <x:v>1</x:v>
      </x:c>
      <x:c r="J129" s="18" t="n">
        <x:f>IF(COUNTIF(C62:C64,"W")+COUNTIF(C62:C64,"10")&gt;0,1,0)</x:f>
        <x:v>1</x:v>
      </x:c>
      <x:c r="K129" s="18" t="n">
        <x:f>IF(COUNTIF(D62:D64,"W")+COUNTIF(D62:D64,"10")&gt;0,1,0)</x:f>
        <x:v>1</x:v>
      </x:c>
      <x:c r="L129" s="18" t="n">
        <x:f>IF(COUNTIF(E62:E64,"W")+COUNTIF(E62:E64,"10")&gt;0,1,0)</x:f>
        <x:v>1</x:v>
      </x:c>
      <x:c r="M129" s="18" t="n">
        <x:f>IF(COUNTIF(F62:F64,"W")+COUNTIF(F62:F64,"10")&gt;0,1,0)</x:f>
        <x:v>1</x:v>
      </x:c>
      <x:c r="N129" s="18" t="str">
        <x:v>1=有W/圖案, 0=沒有</x:v>
      </x:c>
    </x:row>
    <x:row r="130">
      <x:c r="H130" s="18" t="n">
        <x:f>A63</x:f>
        <x:v>11</x:v>
      </x:c>
      <x:c r="I130" s="18" t="n">
        <x:f>IF(COUNTIF(B63:B65,"W")+COUNTIF(B63:B65,"10")&gt;0,1,0)</x:f>
        <x:v>1</x:v>
      </x:c>
      <x:c r="J130" s="18" t="n">
        <x:f>IF(COUNTIF(C63:C65,"W")+COUNTIF(C63:C65,"10")&gt;0,1,0)</x:f>
        <x:v>1</x:v>
      </x:c>
      <x:c r="K130" s="18" t="n">
        <x:f>IF(COUNTIF(D63:D65,"W")+COUNTIF(D63:D65,"10")&gt;0,1,0)</x:f>
        <x:v>1</x:v>
      </x:c>
      <x:c r="L130" s="18" t="n">
        <x:f>IF(COUNTIF(E63:E65,"W")+COUNTIF(E63:E65,"10")&gt;0,1,0)</x:f>
        <x:v>1</x:v>
      </x:c>
      <x:c r="M130" s="18" t="n">
        <x:f>IF(COUNTIF(F63:F65,"W")+COUNTIF(F63:F65,"10")&gt;0,1,0)</x:f>
        <x:v>1</x:v>
      </x:c>
      <x:c r="N130" s="18" t="str">
        <x:v>1=有W/圖案, 0=沒有</x:v>
      </x:c>
    </x:row>
    <x:row r="131">
      <x:c r="H131" s="18" t="n">
        <x:f>A64</x:f>
        <x:v>12</x:v>
      </x:c>
      <x:c r="I131" s="18" t="n">
        <x:f>IF(COUNTIF(B64:B66,"W")+COUNTIF(B64:B66,"10")&gt;0,1,0)</x:f>
        <x:v>1</x:v>
      </x:c>
      <x:c r="J131" s="18" t="n">
        <x:f>IF(COUNTIF(C64:C66,"W")+COUNTIF(C64:C66,"10")&gt;0,1,0)</x:f>
        <x:v>0</x:v>
      </x:c>
      <x:c r="K131" s="18" t="n">
        <x:f>IF(COUNTIF(D64:D66,"W")+COUNTIF(D64:D66,"10")&gt;0,1,0)</x:f>
        <x:v>0</x:v>
      </x:c>
      <x:c r="L131" s="18" t="n">
        <x:f>IF(COUNTIF(E64:E66,"W")+COUNTIF(E64:E66,"10")&gt;0,1,0)</x:f>
        <x:v>0</x:v>
      </x:c>
      <x:c r="M131" s="18" t="n">
        <x:f>IF(COUNTIF(F64:F66,"W")+COUNTIF(F64:F66,"10")&gt;0,1,0)</x:f>
        <x:v>0</x:v>
      </x:c>
      <x:c r="N131" s="18" t="str">
        <x:v>1=有W/圖案, 0=沒有</x:v>
      </x:c>
    </x:row>
    <x:row r="132">
      <x:c r="H132" s="18" t="n">
        <x:f>A65</x:f>
        <x:v>13</x:v>
      </x:c>
      <x:c r="I132" s="18" t="n">
        <x:f>IF(COUNTIF(B65:B67,"W")+COUNTIF(B65:B67,"10")&gt;0,1,0)</x:f>
        <x:v>1</x:v>
      </x:c>
      <x:c r="J132" s="18" t="n">
        <x:f>IF(COUNTIF(C65:C67,"W")+COUNTIF(C65:C67,"10")&gt;0,1,0)</x:f>
        <x:v>0</x:v>
      </x:c>
      <x:c r="K132" s="18" t="n">
        <x:f>IF(COUNTIF(D65:D67,"W")+COUNTIF(D65:D67,"10")&gt;0,1,0)</x:f>
        <x:v>0</x:v>
      </x:c>
      <x:c r="L132" s="18" t="n">
        <x:f>IF(COUNTIF(E65:E67,"W")+COUNTIF(E65:E67,"10")&gt;0,1,0)</x:f>
        <x:v>0</x:v>
      </x:c>
      <x:c r="M132" s="18" t="n">
        <x:f>IF(COUNTIF(F65:F67,"W")+COUNTIF(F65:F67,"10")&gt;0,1,0)</x:f>
        <x:v>0</x:v>
      </x:c>
      <x:c r="N132" s="18" t="str">
        <x:v>1=有W/圖案, 0=沒有</x:v>
      </x:c>
    </x:row>
    <x:row r="133">
      <x:c r="H133" s="18" t="n">
        <x:f>A66</x:f>
        <x:v>14</x:v>
      </x:c>
      <x:c r="I133" s="18" t="n">
        <x:f>IF(COUNTIF(B66:B68,"W")+COUNTIF(B66:B68,"10")&gt;0,1,0)</x:f>
        <x:v>1</x:v>
      </x:c>
      <x:c r="J133" s="18" t="n">
        <x:f>IF(COUNTIF(C66:C68,"W")+COUNTIF(C66:C68,"10")&gt;0,1,0)</x:f>
        <x:v>1</x:v>
      </x:c>
      <x:c r="K133" s="18" t="n">
        <x:f>IF(COUNTIF(D66:D68,"W")+COUNTIF(D66:D68,"10")&gt;0,1,0)</x:f>
        <x:v>1</x:v>
      </x:c>
      <x:c r="L133" s="18" t="n">
        <x:f>IF(COUNTIF(E66:E68,"W")+COUNTIF(E66:E68,"10")&gt;0,1,0)</x:f>
        <x:v>1</x:v>
      </x:c>
      <x:c r="M133" s="18" t="n">
        <x:f>IF(COUNTIF(F66:F68,"W")+COUNTIF(F66:F68,"10")&gt;0,1,0)</x:f>
        <x:v>1</x:v>
      </x:c>
      <x:c r="N133" s="18" t="str">
        <x:v>1=有W/圖案, 0=沒有</x:v>
      </x:c>
    </x:row>
    <x:row r="134">
      <x:c r="H134" s="18" t="n">
        <x:f>A67</x:f>
        <x:v>15</x:v>
      </x:c>
      <x:c r="I134" s="18" t="n">
        <x:f>IF(COUNTIF(B67:B69,"W")+COUNTIF(B67:B69,"10")&gt;0,1,0)</x:f>
        <x:v>1</x:v>
      </x:c>
      <x:c r="J134" s="18" t="n">
        <x:f>IF(COUNTIF(C67:C69,"W")+COUNTIF(C67:C69,"10")&gt;0,1,0)</x:f>
        <x:v>1</x:v>
      </x:c>
      <x:c r="K134" s="18" t="n">
        <x:f>IF(COUNTIF(D67:D69,"W")+COUNTIF(D67:D69,"10")&gt;0,1,0)</x:f>
        <x:v>1</x:v>
      </x:c>
      <x:c r="L134" s="18" t="n">
        <x:f>IF(COUNTIF(E67:E69,"W")+COUNTIF(E67:E69,"10")&gt;0,1,0)</x:f>
        <x:v>1</x:v>
      </x:c>
      <x:c r="M134" s="18" t="n">
        <x:f>IF(COUNTIF(F67:F69,"W")+COUNTIF(F67:F69,"10")&gt;0,1,0)</x:f>
        <x:v>1</x:v>
      </x:c>
      <x:c r="N134" s="18" t="str">
        <x:v>1=有W/圖案, 0=沒有</x:v>
      </x:c>
    </x:row>
    <x:row r="135">
      <x:c r="H135" s="18" t="n">
        <x:f>A68</x:f>
        <x:v>16</x:v>
      </x:c>
      <x:c r="I135" s="18" t="n">
        <x:f>IF(COUNTIF(B68:B70,"W")+COUNTIF(B68:B70,"10")&gt;0,1,0)</x:f>
        <x:v>0</x:v>
      </x:c>
      <x:c r="J135" s="18" t="n">
        <x:f>IF(COUNTIF(C68:C70,"W")+COUNTIF(C68:C70,"10")&gt;0,1,0)</x:f>
        <x:v>1</x:v>
      </x:c>
      <x:c r="K135" s="18" t="n">
        <x:f>IF(COUNTIF(D68:D70,"W")+COUNTIF(D68:D70,"10")&gt;0,1,0)</x:f>
        <x:v>1</x:v>
      </x:c>
      <x:c r="L135" s="18" t="n">
        <x:f>IF(COUNTIF(E68:E70,"W")+COUNTIF(E68:E70,"10")&gt;0,1,0)</x:f>
        <x:v>1</x:v>
      </x:c>
      <x:c r="M135" s="18" t="n">
        <x:f>IF(COUNTIF(F68:F70,"W")+COUNTIF(F68:F70,"10")&gt;0,1,0)</x:f>
        <x:v>1</x:v>
      </x:c>
      <x:c r="N135" s="18" t="str">
        <x:v>1=有W/圖案, 0=沒有</x:v>
      </x:c>
    </x:row>
    <x:row r="136">
      <x:c r="H136" s="18" t="n">
        <x:f>A69</x:f>
        <x:v>17</x:v>
      </x:c>
      <x:c r="I136" s="18" t="n">
        <x:f>IF(COUNTIF(B69:B71,"W")+COUNTIF(B69:B71,"10")&gt;0,1,0)</x:f>
        <x:v>1</x:v>
      </x:c>
      <x:c r="J136" s="18" t="n">
        <x:f>IF(COUNTIF(C69:C71,"W")+COUNTIF(C69:C71,"10")&gt;0,1,0)</x:f>
        <x:v>0</x:v>
      </x:c>
      <x:c r="K136" s="18" t="n">
        <x:f>IF(COUNTIF(D69:D71,"W")+COUNTIF(D69:D71,"10")&gt;0,1,0)</x:f>
        <x:v>1</x:v>
      </x:c>
      <x:c r="L136" s="18" t="n">
        <x:f>IF(COUNTIF(E69:E71,"W")+COUNTIF(E69:E71,"10")&gt;0,1,0)</x:f>
        <x:v>1</x:v>
      </x:c>
      <x:c r="M136" s="18" t="n">
        <x:f>IF(COUNTIF(F69:F71,"W")+COUNTIF(F69:F71,"10")&gt;0,1,0)</x:f>
        <x:v>1</x:v>
      </x:c>
      <x:c r="N136" s="18" t="str">
        <x:v>1=有W/圖案, 0=沒有</x:v>
      </x:c>
    </x:row>
    <x:row r="137">
      <x:c r="H137" s="18" t="n">
        <x:f>A70</x:f>
        <x:v>18</x:v>
      </x:c>
      <x:c r="I137" s="18" t="n">
        <x:f>IF(COUNTIF(B70:B72,"W")+COUNTIF(B70:B72,"10")&gt;0,1,0)</x:f>
        <x:v>1</x:v>
      </x:c>
      <x:c r="J137" s="18" t="n">
        <x:f>IF(COUNTIF(C70:C72,"W")+COUNTIF(C70:C72,"10")&gt;0,1,0)</x:f>
        <x:v>0</x:v>
      </x:c>
      <x:c r="K137" s="18" t="n">
        <x:f>IF(COUNTIF(D70:D72,"W")+COUNTIF(D70:D72,"10")&gt;0,1,0)</x:f>
        <x:v>1</x:v>
      </x:c>
      <x:c r="L137" s="18" t="n">
        <x:f>IF(COUNTIF(E70:E72,"W")+COUNTIF(E70:E72,"10")&gt;0,1,0)</x:f>
        <x:v>1</x:v>
      </x:c>
      <x:c r="M137" s="18" t="n">
        <x:f>IF(COUNTIF(F70:F72,"W")+COUNTIF(F70:F72,"10")&gt;0,1,0)</x:f>
        <x:v>1</x:v>
      </x:c>
      <x:c r="N137" s="18" t="str">
        <x:v>1=有W/圖案, 0=沒有</x:v>
      </x:c>
    </x:row>
    <x:row r="138">
      <x:c r="H138" s="18" t="n">
        <x:f>A71</x:f>
        <x:v>19</x:v>
      </x:c>
      <x:c r="I138" s="18" t="n">
        <x:f>IF(COUNTIF(B71:B73,"W")+COUNTIF(B71:B73,"10")&gt;0,1,0)</x:f>
        <x:v>1</x:v>
      </x:c>
      <x:c r="J138" s="18" t="n">
        <x:f>IF(COUNTIF(C71:C73,"W")+COUNTIF(C71:C73,"10")&gt;0,1,0)</x:f>
        <x:v>1</x:v>
      </x:c>
      <x:c r="K138" s="18" t="n">
        <x:f>IF(COUNTIF(D71:D73,"W")+COUNTIF(D71:D73,"10")&gt;0,1,0)</x:f>
        <x:v>1</x:v>
      </x:c>
      <x:c r="L138" s="18" t="n">
        <x:f>IF(COUNTIF(E71:E73,"W")+COUNTIF(E71:E73,"10")&gt;0,1,0)</x:f>
        <x:v>1</x:v>
      </x:c>
      <x:c r="M138" s="18" t="n">
        <x:f>IF(COUNTIF(F71:F73,"W")+COUNTIF(F71:F73,"10")&gt;0,1,0)</x:f>
        <x:v>1</x:v>
      </x:c>
      <x:c r="N138" s="18" t="str">
        <x:v>1=有W/圖案, 0=沒有</x:v>
      </x:c>
    </x:row>
    <x:row r="139">
      <x:c r="H139" s="18" t="n">
        <x:f>A72</x:f>
        <x:v>20</x:v>
      </x:c>
      <x:c r="I139" s="18" t="n">
        <x:f>IF(COUNTIF(B72:B74,"W")+COUNTIF(B72:B74,"10")&gt;0,1,0)</x:f>
        <x:v>0</x:v>
      </x:c>
      <x:c r="J139" s="18" t="n">
        <x:f>IF(COUNTIF(C72:C74,"W")+COUNTIF(C72:C74,"10")&gt;0,1,0)</x:f>
        <x:v>1</x:v>
      </x:c>
      <x:c r="K139" s="18" t="n">
        <x:f>IF(COUNTIF(D72:D74,"W")+COUNTIF(D72:D74,"10")&gt;0,1,0)</x:f>
        <x:v>1</x:v>
      </x:c>
      <x:c r="L139" s="18" t="n">
        <x:f>IF(COUNTIF(E72:E74,"W")+COUNTIF(E72:E74,"10")&gt;0,1,0)</x:f>
        <x:v>1</x:v>
      </x:c>
      <x:c r="M139" s="18" t="n">
        <x:f>IF(COUNTIF(F72:F74,"W")+COUNTIF(F72:F74,"10")&gt;0,1,0)</x:f>
        <x:v>1</x:v>
      </x:c>
      <x:c r="N139" s="18" t="str">
        <x:v>1=有W/圖案, 0=沒有</x:v>
      </x:c>
    </x:row>
    <x:row r="140">
      <x:c r="H140" s="23" t="str">
        <x:v>X_W9 判斷表</x:v>
      </x:c>
      <x:c r="I140" s="23" t="str">
        <x:v>X_W9 判斷表</x:v>
      </x:c>
      <x:c r="J140" s="23" t="str">
        <x:v>X_W9 判斷表</x:v>
      </x:c>
      <x:c r="K140" s="23" t="str">
        <x:v>X_W9 判斷表</x:v>
      </x:c>
      <x:c r="L140" s="23" t="str">
        <x:v>X_W9 判斷表</x:v>
      </x:c>
      <x:c r="M140" s="23" t="str">
        <x:v>X_W9 判斷表</x:v>
      </x:c>
      <x:c r="N140" s="23" t="str">
        <x:v>X_W9 判斷表</x:v>
      </x:c>
    </x:row>
    <x:row r="141">
      <x:c r="H141" s="16" t="str">
        <x:v>stop</x:v>
      </x:c>
      <x:c r="I141" s="16" t="str">
        <x:v>轉輪1</x:v>
      </x:c>
      <x:c r="J141" s="16" t="str">
        <x:v>轉輪2</x:v>
      </x:c>
      <x:c r="K141" s="16" t="str">
        <x:v>轉輪3</x:v>
      </x:c>
      <x:c r="L141" s="16" t="str">
        <x:v>轉輪4</x:v>
      </x:c>
      <x:c r="M141" s="16" t="str">
        <x:v>轉輪5</x:v>
      </x:c>
      <x:c r="N141" s="16" t="str">
        <x:v>判斷</x:v>
      </x:c>
    </x:row>
    <x:row r="142">
      <x:c r="H142" s="18" t="n">
        <x:f>A53</x:f>
        <x:v>1</x:v>
      </x:c>
      <x:c r="I142" s="18" t="n">
        <x:f>IF(COUNTIF(B53:B55,"W")+COUNTIF(B53:B55,"9")&gt;0,1,0)</x:f>
        <x:v>0</x:v>
      </x:c>
      <x:c r="J142" s="18" t="n">
        <x:f>IF(COUNTIF(C53:C55,"W")+COUNTIF(C53:C55,"9")&gt;0,1,0)</x:f>
        <x:v>1</x:v>
      </x:c>
      <x:c r="K142" s="18" t="n">
        <x:f>IF(COUNTIF(D53:D55,"W")+COUNTIF(D53:D55,"9")&gt;0,1,0)</x:f>
        <x:v>1</x:v>
      </x:c>
      <x:c r="L142" s="18" t="n">
        <x:f>IF(COUNTIF(E53:E55,"W")+COUNTIF(E53:E55,"9")&gt;0,1,0)</x:f>
        <x:v>1</x:v>
      </x:c>
      <x:c r="M142" s="18" t="n">
        <x:f>IF(COUNTIF(F53:F55,"W")+COUNTIF(F53:F55,"9")&gt;0,1,0)</x:f>
        <x:v>1</x:v>
      </x:c>
      <x:c r="N142" s="18" t="str">
        <x:v>1=有W/圖案, 0=沒有</x:v>
      </x:c>
    </x:row>
    <x:row r="143">
      <x:c r="H143" s="18" t="n">
        <x:f>A54</x:f>
        <x:v>2</x:v>
      </x:c>
      <x:c r="I143" s="18" t="n">
        <x:f>IF(COUNTIF(B54:B56,"W")+COUNTIF(B54:B56,"9")&gt;0,1,0)</x:f>
        <x:v>0</x:v>
      </x:c>
      <x:c r="J143" s="18" t="n">
        <x:f>IF(COUNTIF(C54:C56,"W")+COUNTIF(C54:C56,"9")&gt;0,1,0)</x:f>
        <x:v>0</x:v>
      </x:c>
      <x:c r="K143" s="18" t="n">
        <x:f>IF(COUNTIF(D54:D56,"W")+COUNTIF(D54:D56,"9")&gt;0,1,0)</x:f>
        <x:v>0</x:v>
      </x:c>
      <x:c r="L143" s="18" t="n">
        <x:f>IF(COUNTIF(E54:E56,"W")+COUNTIF(E54:E56,"9")&gt;0,1,0)</x:f>
        <x:v>0</x:v>
      </x:c>
      <x:c r="M143" s="18" t="n">
        <x:f>IF(COUNTIF(F54:F56,"W")+COUNTIF(F54:F56,"9")&gt;0,1,0)</x:f>
        <x:v>0</x:v>
      </x:c>
      <x:c r="N143" s="18" t="str">
        <x:v>1=有W/圖案, 0=沒有</x:v>
      </x:c>
    </x:row>
    <x:row r="144">
      <x:c r="H144" s="18" t="n">
        <x:f>A55</x:f>
        <x:v>3</x:v>
      </x:c>
      <x:c r="I144" s="18" t="n">
        <x:f>IF(COUNTIF(B55:B57,"W")+COUNTIF(B55:B57,"9")&gt;0,1,0)</x:f>
        <x:v>1</x:v>
      </x:c>
      <x:c r="J144" s="18" t="n">
        <x:f>IF(COUNTIF(C55:C57,"W")+COUNTIF(C55:C57,"9")&gt;0,1,0)</x:f>
        <x:v>0</x:v>
      </x:c>
      <x:c r="K144" s="18" t="n">
        <x:f>IF(COUNTIF(D55:D57,"W")+COUNTIF(D55:D57,"9")&gt;0,1,0)</x:f>
        <x:v>0</x:v>
      </x:c>
      <x:c r="L144" s="18" t="n">
        <x:f>IF(COUNTIF(E55:E57,"W")+COUNTIF(E55:E57,"9")&gt;0,1,0)</x:f>
        <x:v>0</x:v>
      </x:c>
      <x:c r="M144" s="18" t="n">
        <x:f>IF(COUNTIF(F55:F57,"W")+COUNTIF(F55:F57,"9")&gt;0,1,0)</x:f>
        <x:v>0</x:v>
      </x:c>
      <x:c r="N144" s="18" t="str">
        <x:v>1=有W/圖案, 0=沒有</x:v>
      </x:c>
    </x:row>
    <x:row r="145">
      <x:c r="H145" s="18" t="n">
        <x:f>A56</x:f>
        <x:v>4</x:v>
      </x:c>
      <x:c r="I145" s="18" t="n">
        <x:f>IF(COUNTIF(B56:B58,"W")+COUNTIF(B56:B58,"9")&gt;0,1,0)</x:f>
        <x:v>1</x:v>
      </x:c>
      <x:c r="J145" s="18" t="n">
        <x:f>IF(COUNTIF(C56:C58,"W")+COUNTIF(C56:C58,"9")&gt;0,1,0)</x:f>
        <x:v>1</x:v>
      </x:c>
      <x:c r="K145" s="18" t="n">
        <x:f>IF(COUNTIF(D56:D58,"W")+COUNTIF(D56:D58,"9")&gt;0,1,0)</x:f>
        <x:v>1</x:v>
      </x:c>
      <x:c r="L145" s="18" t="n">
        <x:f>IF(COUNTIF(E56:E58,"W")+COUNTIF(E56:E58,"9")&gt;0,1,0)</x:f>
        <x:v>1</x:v>
      </x:c>
      <x:c r="M145" s="18" t="n">
        <x:f>IF(COUNTIF(F56:F58,"W")+COUNTIF(F56:F58,"9")&gt;0,1,0)</x:f>
        <x:v>1</x:v>
      </x:c>
      <x:c r="N145" s="18" t="str">
        <x:v>1=有W/圖案, 0=沒有</x:v>
      </x:c>
    </x:row>
    <x:row r="146">
      <x:c r="H146" s="18" t="n">
        <x:f>A57</x:f>
        <x:v>5</x:v>
      </x:c>
      <x:c r="I146" s="18" t="n">
        <x:f>IF(COUNTIF(B57:B59,"W")+COUNTIF(B57:B59,"9")&gt;0,1,0)</x:f>
        <x:v>1</x:v>
      </x:c>
      <x:c r="J146" s="18" t="n">
        <x:f>IF(COUNTIF(C57:C59,"W")+COUNTIF(C57:C59,"9")&gt;0,1,0)</x:f>
        <x:v>1</x:v>
      </x:c>
      <x:c r="K146" s="18" t="n">
        <x:f>IF(COUNTIF(D57:D59,"W")+COUNTIF(D57:D59,"9")&gt;0,1,0)</x:f>
        <x:v>1</x:v>
      </x:c>
      <x:c r="L146" s="18" t="n">
        <x:f>IF(COUNTIF(E57:E59,"W")+COUNTIF(E57:E59,"9")&gt;0,1,0)</x:f>
        <x:v>1</x:v>
      </x:c>
      <x:c r="M146" s="18" t="n">
        <x:f>IF(COUNTIF(F57:F59,"W")+COUNTIF(F57:F59,"9")&gt;0,1,0)</x:f>
        <x:v>1</x:v>
      </x:c>
      <x:c r="N146" s="18" t="str">
        <x:v>1=有W/圖案, 0=沒有</x:v>
      </x:c>
    </x:row>
    <x:row r="147">
      <x:c r="H147" s="18" t="n">
        <x:f>A58</x:f>
        <x:v>6</x:v>
      </x:c>
      <x:c r="I147" s="18" t="n">
        <x:f>IF(COUNTIF(B58:B60,"W")+COUNTIF(B58:B60,"9")&gt;0,1,0)</x:f>
        <x:v>1</x:v>
      </x:c>
      <x:c r="J147" s="18" t="n">
        <x:f>IF(COUNTIF(C58:C60,"W")+COUNTIF(C58:C60,"9")&gt;0,1,0)</x:f>
        <x:v>1</x:v>
      </x:c>
      <x:c r="K147" s="18" t="n">
        <x:f>IF(COUNTIF(D58:D60,"W")+COUNTIF(D58:D60,"9")&gt;0,1,0)</x:f>
        <x:v>1</x:v>
      </x:c>
      <x:c r="L147" s="18" t="n">
        <x:f>IF(COUNTIF(E58:E60,"W")+COUNTIF(E58:E60,"9")&gt;0,1,0)</x:f>
        <x:v>1</x:v>
      </x:c>
      <x:c r="M147" s="18" t="n">
        <x:f>IF(COUNTIF(F58:F60,"W")+COUNTIF(F58:F60,"9")&gt;0,1,0)</x:f>
        <x:v>1</x:v>
      </x:c>
      <x:c r="N147" s="18" t="str">
        <x:v>1=有W/圖案, 0=沒有</x:v>
      </x:c>
    </x:row>
    <x:row r="148">
      <x:c r="H148" s="18" t="n">
        <x:f>A59</x:f>
        <x:v>7</x:v>
      </x:c>
      <x:c r="I148" s="18" t="n">
        <x:f>IF(COUNTIF(B59:B61,"W")+COUNTIF(B59:B61,"9")&gt;0,1,0)</x:f>
        <x:v>0</x:v>
      </x:c>
      <x:c r="J148" s="18" t="n">
        <x:f>IF(COUNTIF(C59:C61,"W")+COUNTIF(C59:C61,"9")&gt;0,1,0)</x:f>
        <x:v>0</x:v>
      </x:c>
      <x:c r="K148" s="18" t="n">
        <x:f>IF(COUNTIF(D59:D61,"W")+COUNTIF(D59:D61,"9")&gt;0,1,0)</x:f>
        <x:v>0</x:v>
      </x:c>
      <x:c r="L148" s="18" t="n">
        <x:f>IF(COUNTIF(E59:E61,"W")+COUNTIF(E59:E61,"9")&gt;0,1,0)</x:f>
        <x:v>0</x:v>
      </x:c>
      <x:c r="M148" s="18" t="n">
        <x:f>IF(COUNTIF(F59:F61,"W")+COUNTIF(F59:F61,"9")&gt;0,1,0)</x:f>
        <x:v>1</x:v>
      </x:c>
      <x:c r="N148" s="18" t="str">
        <x:v>1=有W/圖案, 0=沒有</x:v>
      </x:c>
    </x:row>
    <x:row r="149">
      <x:c r="H149" s="18" t="n">
        <x:f>A60</x:f>
        <x:v>8</x:v>
      </x:c>
      <x:c r="I149" s="18" t="n">
        <x:f>IF(COUNTIF(B60:B62,"W")+COUNTIF(B60:B62,"9")&gt;0,1,0)</x:f>
        <x:v>0</x:v>
      </x:c>
      <x:c r="J149" s="18" t="n">
        <x:f>IF(COUNTIF(C60:C62,"W")+COUNTIF(C60:C62,"9")&gt;0,1,0)</x:f>
        <x:v>0</x:v>
      </x:c>
      <x:c r="K149" s="18" t="n">
        <x:f>IF(COUNTIF(D60:D62,"W")+COUNTIF(D60:D62,"9")&gt;0,1,0)</x:f>
        <x:v>0</x:v>
      </x:c>
      <x:c r="L149" s="18" t="n">
        <x:f>IF(COUNTIF(E60:E62,"W")+COUNTIF(E60:E62,"9")&gt;0,1,0)</x:f>
        <x:v>0</x:v>
      </x:c>
      <x:c r="M149" s="18" t="n">
        <x:f>IF(COUNTIF(F60:F62,"W")+COUNTIF(F60:F62,"9")&gt;0,1,0)</x:f>
        <x:v>0</x:v>
      </x:c>
      <x:c r="N149" s="18" t="str">
        <x:v>1=有W/圖案, 0=沒有</x:v>
      </x:c>
    </x:row>
    <x:row r="150">
      <x:c r="H150" s="18" t="n">
        <x:f>A61</x:f>
        <x:v>9</x:v>
      </x:c>
      <x:c r="I150" s="18" t="n">
        <x:f>IF(COUNTIF(B61:B63,"W")+COUNTIF(B61:B63,"9")&gt;0,1,0)</x:f>
        <x:v>1</x:v>
      </x:c>
      <x:c r="J150" s="18" t="n">
        <x:f>IF(COUNTIF(C61:C63,"W")+COUNTIF(C61:C63,"9")&gt;0,1,0)</x:f>
        <x:v>0</x:v>
      </x:c>
      <x:c r="K150" s="18" t="n">
        <x:f>IF(COUNTIF(D61:D63,"W")+COUNTIF(D61:D63,"9")&gt;0,1,0)</x:f>
        <x:v>0</x:v>
      </x:c>
      <x:c r="L150" s="18" t="n">
        <x:f>IF(COUNTIF(E61:E63,"W")+COUNTIF(E61:E63,"9")&gt;0,1,0)</x:f>
        <x:v>0</x:v>
      </x:c>
      <x:c r="M150" s="18" t="n">
        <x:f>IF(COUNTIF(F61:F63,"W")+COUNTIF(F61:F63,"9")&gt;0,1,0)</x:f>
        <x:v>0</x:v>
      </x:c>
      <x:c r="N150" s="18" t="str">
        <x:v>1=有W/圖案, 0=沒有</x:v>
      </x:c>
    </x:row>
    <x:row r="151">
      <x:c r="H151" s="18" t="n">
        <x:f>A62</x:f>
        <x:v>10</x:v>
      </x:c>
      <x:c r="I151" s="18" t="n">
        <x:f>IF(COUNTIF(B62:B64,"W")+COUNTIF(B62:B64,"9")&gt;0,1,0)</x:f>
        <x:v>1</x:v>
      </x:c>
      <x:c r="J151" s="18" t="n">
        <x:f>IF(COUNTIF(C62:C64,"W")+COUNTIF(C62:C64,"9")&gt;0,1,0)</x:f>
        <x:v>1</x:v>
      </x:c>
      <x:c r="K151" s="18" t="n">
        <x:f>IF(COUNTIF(D62:D64,"W")+COUNTIF(D62:D64,"9")&gt;0,1,0)</x:f>
        <x:v>1</x:v>
      </x:c>
      <x:c r="L151" s="18" t="n">
        <x:f>IF(COUNTIF(E62:E64,"W")+COUNTIF(E62:E64,"9")&gt;0,1,0)</x:f>
        <x:v>1</x:v>
      </x:c>
      <x:c r="M151" s="18" t="n">
        <x:f>IF(COUNTIF(F62:F64,"W")+COUNTIF(F62:F64,"9")&gt;0,1,0)</x:f>
        <x:v>1</x:v>
      </x:c>
      <x:c r="N151" s="18" t="str">
        <x:v>1=有W/圖案, 0=沒有</x:v>
      </x:c>
    </x:row>
    <x:row r="152">
      <x:c r="H152" s="18" t="n">
        <x:f>A63</x:f>
        <x:v>11</x:v>
      </x:c>
      <x:c r="I152" s="18" t="n">
        <x:f>IF(COUNTIF(B63:B65,"W")+COUNTIF(B63:B65,"9")&gt;0,1,0)</x:f>
        <x:v>1</x:v>
      </x:c>
      <x:c r="J152" s="18" t="n">
        <x:f>IF(COUNTIF(C63:C65,"W")+COUNTIF(C63:C65,"9")&gt;0,1,0)</x:f>
        <x:v>1</x:v>
      </x:c>
      <x:c r="K152" s="18" t="n">
        <x:f>IF(COUNTIF(D63:D65,"W")+COUNTIF(D63:D65,"9")&gt;0,1,0)</x:f>
        <x:v>1</x:v>
      </x:c>
      <x:c r="L152" s="18" t="n">
        <x:f>IF(COUNTIF(E63:E65,"W")+COUNTIF(E63:E65,"9")&gt;0,1,0)</x:f>
        <x:v>1</x:v>
      </x:c>
      <x:c r="M152" s="18" t="n">
        <x:f>IF(COUNTIF(F63:F65,"W")+COUNTIF(F63:F65,"9")&gt;0,1,0)</x:f>
        <x:v>1</x:v>
      </x:c>
      <x:c r="N152" s="18" t="str">
        <x:v>1=有W/圖案, 0=沒有</x:v>
      </x:c>
    </x:row>
    <x:row r="153">
      <x:c r="H153" s="18" t="n">
        <x:f>A64</x:f>
        <x:v>12</x:v>
      </x:c>
      <x:c r="I153" s="18" t="n">
        <x:f>IF(COUNTIF(B64:B66,"W")+COUNTIF(B64:B66,"9")&gt;0,1,0)</x:f>
        <x:v>0</x:v>
      </x:c>
      <x:c r="J153" s="18" t="n">
        <x:f>IF(COUNTIF(C64:C66,"W")+COUNTIF(C64:C66,"9")&gt;0,1,0)</x:f>
        <x:v>1</x:v>
      </x:c>
      <x:c r="K153" s="18" t="n">
        <x:f>IF(COUNTIF(D64:D66,"W")+COUNTIF(D64:D66,"9")&gt;0,1,0)</x:f>
        <x:v>1</x:v>
      </x:c>
      <x:c r="L153" s="18" t="n">
        <x:f>IF(COUNTIF(E64:E66,"W")+COUNTIF(E64:E66,"9")&gt;0,1,0)</x:f>
        <x:v>1</x:v>
      </x:c>
      <x:c r="M153" s="18" t="n">
        <x:f>IF(COUNTIF(F64:F66,"W")+COUNTIF(F64:F66,"9")&gt;0,1,0)</x:f>
        <x:v>1</x:v>
      </x:c>
      <x:c r="N153" s="18" t="str">
        <x:v>1=有W/圖案, 0=沒有</x:v>
      </x:c>
    </x:row>
    <x:row r="154">
      <x:c r="H154" s="18" t="n">
        <x:f>A65</x:f>
        <x:v>13</x:v>
      </x:c>
      <x:c r="I154" s="18" t="n">
        <x:f>IF(COUNTIF(B65:B67,"W")+COUNTIF(B65:B67,"9")&gt;0,1,0)</x:f>
        <x:v>0</x:v>
      </x:c>
      <x:c r="J154" s="18" t="n">
        <x:f>IF(COUNTIF(C65:C67,"W")+COUNTIF(C65:C67,"9")&gt;0,1,0)</x:f>
        <x:v>0</x:v>
      </x:c>
      <x:c r="K154" s="18" t="n">
        <x:f>IF(COUNTIF(D65:D67,"W")+COUNTIF(D65:D67,"9")&gt;0,1,0)</x:f>
        <x:v>0</x:v>
      </x:c>
      <x:c r="L154" s="18" t="n">
        <x:f>IF(COUNTIF(E65:E67,"W")+COUNTIF(E65:E67,"9")&gt;0,1,0)</x:f>
        <x:v>0</x:v>
      </x:c>
      <x:c r="M154" s="18" t="n">
        <x:f>IF(COUNTIF(F65:F67,"W")+COUNTIF(F65:F67,"9")&gt;0,1,0)</x:f>
        <x:v>0</x:v>
      </x:c>
      <x:c r="N154" s="18" t="str">
        <x:v>1=有W/圖案, 0=沒有</x:v>
      </x:c>
    </x:row>
    <x:row r="155">
      <x:c r="H155" s="18" t="n">
        <x:f>A66</x:f>
        <x:v>14</x:v>
      </x:c>
      <x:c r="I155" s="18" t="n">
        <x:f>IF(COUNTIF(B66:B68,"W")+COUNTIF(B66:B68,"9")&gt;0,1,0)</x:f>
        <x:v>1</x:v>
      </x:c>
      <x:c r="J155" s="18" t="n">
        <x:f>IF(COUNTIF(C66:C68,"W")+COUNTIF(C66:C68,"9")&gt;0,1,0)</x:f>
        <x:v>0</x:v>
      </x:c>
      <x:c r="K155" s="18" t="n">
        <x:f>IF(COUNTIF(D66:D68,"W")+COUNTIF(D66:D68,"9")&gt;0,1,0)</x:f>
        <x:v>0</x:v>
      </x:c>
      <x:c r="L155" s="18" t="n">
        <x:f>IF(COUNTIF(E66:E68,"W")+COUNTIF(E66:E68,"9")&gt;0,1,0)</x:f>
        <x:v>0</x:v>
      </x:c>
      <x:c r="M155" s="18" t="n">
        <x:f>IF(COUNTIF(F66:F68,"W")+COUNTIF(F66:F68,"9")&gt;0,1,0)</x:f>
        <x:v>0</x:v>
      </x:c>
      <x:c r="N155" s="18" t="str">
        <x:v>1=有W/圖案, 0=沒有</x:v>
      </x:c>
    </x:row>
    <x:row r="156">
      <x:c r="H156" s="18" t="n">
        <x:f>A67</x:f>
        <x:v>15</x:v>
      </x:c>
      <x:c r="I156" s="18" t="n">
        <x:f>IF(COUNTIF(B67:B69,"W")+COUNTIF(B67:B69,"9")&gt;0,1,0)</x:f>
        <x:v>1</x:v>
      </x:c>
      <x:c r="J156" s="18" t="n">
        <x:f>IF(COUNTIF(C67:C69,"W")+COUNTIF(C67:C69,"9")&gt;0,1,0)</x:f>
        <x:v>1</x:v>
      </x:c>
      <x:c r="K156" s="18" t="n">
        <x:f>IF(COUNTIF(D67:D69,"W")+COUNTIF(D67:D69,"9")&gt;0,1,0)</x:f>
        <x:v>1</x:v>
      </x:c>
      <x:c r="L156" s="18" t="n">
        <x:f>IF(COUNTIF(E67:E69,"W")+COUNTIF(E67:E69,"9")&gt;0,1,0)</x:f>
        <x:v>1</x:v>
      </x:c>
      <x:c r="M156" s="18" t="n">
        <x:f>IF(COUNTIF(F67:F69,"W")+COUNTIF(F67:F69,"9")&gt;0,1,0)</x:f>
        <x:v>1</x:v>
      </x:c>
      <x:c r="N156" s="18" t="str">
        <x:v>1=有W/圖案, 0=沒有</x:v>
      </x:c>
    </x:row>
    <x:row r="157">
      <x:c r="H157" s="18" t="n">
        <x:f>A68</x:f>
        <x:v>16</x:v>
      </x:c>
      <x:c r="I157" s="18" t="n">
        <x:f>IF(COUNTIF(B68:B70,"W")+COUNTIF(B68:B70,"9")&gt;0,1,0)</x:f>
        <x:v>1</x:v>
      </x:c>
      <x:c r="J157" s="18" t="n">
        <x:f>IF(COUNTIF(C68:C70,"W")+COUNTIF(C68:C70,"9")&gt;0,1,0)</x:f>
        <x:v>1</x:v>
      </x:c>
      <x:c r="K157" s="18" t="n">
        <x:f>IF(COUNTIF(D68:D70,"W")+COUNTIF(D68:D70,"9")&gt;0,1,0)</x:f>
        <x:v>1</x:v>
      </x:c>
      <x:c r="L157" s="18" t="n">
        <x:f>IF(COUNTIF(E68:E70,"W")+COUNTIF(E68:E70,"9")&gt;0,1,0)</x:f>
        <x:v>1</x:v>
      </x:c>
      <x:c r="M157" s="18" t="n">
        <x:f>IF(COUNTIF(F68:F70,"W")+COUNTIF(F68:F70,"9")&gt;0,1,0)</x:f>
        <x:v>1</x:v>
      </x:c>
      <x:c r="N157" s="18" t="str">
        <x:v>1=有W/圖案, 0=沒有</x:v>
      </x:c>
    </x:row>
    <x:row r="158">
      <x:c r="H158" s="18" t="n">
        <x:f>A69</x:f>
        <x:v>17</x:v>
      </x:c>
      <x:c r="I158" s="18" t="n">
        <x:f>IF(COUNTIF(B69:B71,"W")+COUNTIF(B69:B71,"9")&gt;0,1,0)</x:f>
        <x:v>1</x:v>
      </x:c>
      <x:c r="J158" s="18" t="n">
        <x:f>IF(COUNTIF(C69:C71,"W")+COUNTIF(C69:C71,"9")&gt;0,1,0)</x:f>
        <x:v>1</x:v>
      </x:c>
      <x:c r="K158" s="18" t="n">
        <x:f>IF(COUNTIF(D69:D71,"W")+COUNTIF(D69:D71,"9")&gt;0,1,0)</x:f>
        <x:v>1</x:v>
      </x:c>
      <x:c r="L158" s="18" t="n">
        <x:f>IF(COUNTIF(E69:E71,"W")+COUNTIF(E69:E71,"9")&gt;0,1,0)</x:f>
        <x:v>1</x:v>
      </x:c>
      <x:c r="M158" s="18" t="n">
        <x:f>IF(COUNTIF(F69:F71,"W")+COUNTIF(F69:F71,"9")&gt;0,1,0)</x:f>
        <x:v>1</x:v>
      </x:c>
      <x:c r="N158" s="18" t="str">
        <x:v>1=有W/圖案, 0=沒有</x:v>
      </x:c>
    </x:row>
    <x:row r="159">
      <x:c r="H159" s="18" t="n">
        <x:f>A70</x:f>
        <x:v>18</x:v>
      </x:c>
      <x:c r="I159" s="18" t="n">
        <x:f>IF(COUNTIF(B70:B72,"W")+COUNTIF(B70:B72,"9")&gt;0,1,0)</x:f>
        <x:v>1</x:v>
      </x:c>
      <x:c r="J159" s="18" t="n">
        <x:f>IF(COUNTIF(C70:C72,"W")+COUNTIF(C70:C72,"9")&gt;0,1,0)</x:f>
        <x:v>1</x:v>
      </x:c>
      <x:c r="K159" s="18" t="n">
        <x:f>IF(COUNTIF(D70:D72,"W")+COUNTIF(D70:D72,"9")&gt;0,1,0)</x:f>
        <x:v>1</x:v>
      </x:c>
      <x:c r="L159" s="18" t="n">
        <x:f>IF(COUNTIF(E70:E72,"W")+COUNTIF(E70:E72,"9")&gt;0,1,0)</x:f>
        <x:v>1</x:v>
      </x:c>
      <x:c r="M159" s="18" t="n">
        <x:f>IF(COUNTIF(F70:F72,"W")+COUNTIF(F70:F72,"9")&gt;0,1,0)</x:f>
        <x:v>1</x:v>
      </x:c>
      <x:c r="N159" s="18" t="str">
        <x:v>1=有W/圖案, 0=沒有</x:v>
      </x:c>
    </x:row>
    <x:row r="160">
      <x:c r="H160" s="18" t="n">
        <x:f>A71</x:f>
        <x:v>19</x:v>
      </x:c>
      <x:c r="I160" s="18" t="n">
        <x:f>IF(COUNTIF(B71:B73,"W")+COUNTIF(B71:B73,"9")&gt;0,1,0)</x:f>
        <x:v>1</x:v>
      </x:c>
      <x:c r="J160" s="18" t="n">
        <x:f>IF(COUNTIF(C71:C73,"W")+COUNTIF(C71:C73,"9")&gt;0,1,0)</x:f>
        <x:v>1</x:v>
      </x:c>
      <x:c r="K160" s="18" t="n">
        <x:f>IF(COUNTIF(D71:D73,"W")+COUNTIF(D71:D73,"9")&gt;0,1,0)</x:f>
        <x:v>1</x:v>
      </x:c>
      <x:c r="L160" s="18" t="n">
        <x:f>IF(COUNTIF(E71:E73,"W")+COUNTIF(E71:E73,"9")&gt;0,1,0)</x:f>
        <x:v>1</x:v>
      </x:c>
      <x:c r="M160" s="18" t="n">
        <x:f>IF(COUNTIF(F71:F73,"W")+COUNTIF(F71:F73,"9")&gt;0,1,0)</x:f>
        <x:v>1</x:v>
      </x:c>
      <x:c r="N160" s="18" t="str">
        <x:v>1=有W/圖案, 0=沒有</x:v>
      </x:c>
    </x:row>
    <x:row r="161">
      <x:c r="H161" s="18" t="n">
        <x:f>A72</x:f>
        <x:v>20</x:v>
      </x:c>
      <x:c r="I161" s="18" t="n">
        <x:f>IF(COUNTIF(B72:B74,"W")+COUNTIF(B72:B74,"9")&gt;0,1,0)</x:f>
        <x:v>1</x:v>
      </x:c>
      <x:c r="J161" s="18" t="n">
        <x:f>IF(COUNTIF(C72:C74,"W")+COUNTIF(C72:C74,"9")&gt;0,1,0)</x:f>
        <x:v>1</x:v>
      </x:c>
      <x:c r="K161" s="18" t="n">
        <x:f>IF(COUNTIF(D72:D74,"W")+COUNTIF(D72:D74,"9")&gt;0,1,0)</x:f>
        <x:v>1</x:v>
      </x:c>
      <x:c r="L161" s="18" t="n">
        <x:f>IF(COUNTIF(E72:E74,"W")+COUNTIF(E72:E74,"9")&gt;0,1,0)</x:f>
        <x:v>1</x:v>
      </x:c>
      <x:c r="M161" s="18" t="n">
        <x:f>IF(COUNTIF(F72:F74,"W")+COUNTIF(F72:F74,"9")&gt;0,1,0)</x:f>
        <x:v>1</x:v>
      </x:c>
      <x:c r="N161" s="18" t="str">
        <x:v>1=有W/圖案, 0=沒有</x:v>
      </x:c>
    </x:row>
  </x:sheetData>
  <x:mergeCells>
    <x:mergeCell ref="A1:Y1"/>
    <x:mergeCell ref="A2:Y2"/>
    <x:mergeCell ref="A4:F4"/>
    <x:mergeCell ref="H4:K4"/>
    <x:mergeCell ref="A28:F28"/>
    <x:mergeCell ref="A51:F51"/>
    <x:mergeCell ref="H52:N52"/>
    <x:mergeCell ref="H74:N74"/>
    <x:mergeCell ref="H96:N96"/>
    <x:mergeCell ref="H118:N118"/>
    <x:mergeCell ref="H140:N140"/>
    <x:mergeCell ref="O4:Y4"/>
    <x:mergeCell ref="H14:M14"/>
  </x:mergeCells>
  <x:pageMargins left="0.7" right="0.7" top="0.75" bottom="0.75" header="0.3" footer="0.3"/>
</x:worksheet>
</file>