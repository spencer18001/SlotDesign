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Workspace\Obsidian\SlotDesign\"/>
    </mc:Choice>
  </mc:AlternateContent>
  <bookViews>
    <workbookView xWindow="0" yWindow="0" windowWidth="28800" windowHeight="13965"/>
  </bookViews>
  <sheets>
    <sheet name="主遊戲" sheetId="1" r:id="rId1"/>
  </sheets>
  <calcPr calcId="162913"/>
</workbook>
</file>

<file path=xl/calcChain.xml><?xml version="1.0" encoding="utf-8"?>
<calcChain xmlns="http://schemas.openxmlformats.org/spreadsheetml/2006/main">
  <c r="D53" i="1" l="1"/>
  <c r="F47" i="1"/>
  <c r="E47" i="1"/>
  <c r="D47" i="1"/>
  <c r="C47" i="1"/>
  <c r="B47" i="1"/>
  <c r="O29" i="1" s="1"/>
  <c r="F46" i="1"/>
  <c r="D44" i="1"/>
  <c r="F38" i="1"/>
  <c r="F56" i="1" s="1"/>
  <c r="E38" i="1"/>
  <c r="E56" i="1" s="1"/>
  <c r="D38" i="1"/>
  <c r="D56" i="1" s="1"/>
  <c r="C38" i="1"/>
  <c r="C56" i="1" s="1"/>
  <c r="B38" i="1"/>
  <c r="B56" i="1" s="1"/>
  <c r="F37" i="1"/>
  <c r="E37" i="1"/>
  <c r="D37" i="1"/>
  <c r="O15" i="1" s="1"/>
  <c r="C37" i="1"/>
  <c r="B37" i="1"/>
  <c r="F36" i="1"/>
  <c r="E36" i="1"/>
  <c r="D36" i="1"/>
  <c r="C36" i="1"/>
  <c r="B36" i="1"/>
  <c r="F35" i="1"/>
  <c r="E35" i="1"/>
  <c r="D35" i="1"/>
  <c r="C35" i="1"/>
  <c r="B35" i="1"/>
  <c r="F34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F31" i="1"/>
  <c r="E31" i="1"/>
  <c r="E43" i="1" s="1"/>
  <c r="E52" i="1" s="1"/>
  <c r="D31" i="1"/>
  <c r="C31" i="1"/>
  <c r="B31" i="1"/>
  <c r="B43" i="1" s="1"/>
  <c r="Q30" i="1"/>
  <c r="F30" i="1"/>
  <c r="F43" i="1" s="1"/>
  <c r="F52" i="1" s="1"/>
  <c r="E30" i="1"/>
  <c r="E45" i="1" s="1"/>
  <c r="D30" i="1"/>
  <c r="D46" i="1" s="1"/>
  <c r="C30" i="1"/>
  <c r="C46" i="1" s="1"/>
  <c r="B30" i="1"/>
  <c r="B46" i="1" s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N5" i="1" l="1"/>
  <c r="P15" i="1" s="1"/>
  <c r="R15" i="1" s="1"/>
  <c r="E46" i="1"/>
  <c r="O25" i="1" s="1"/>
  <c r="P25" i="1" s="1"/>
  <c r="R25" i="1" s="1"/>
  <c r="B52" i="1"/>
  <c r="C43" i="1"/>
  <c r="C52" i="1" s="1"/>
  <c r="D43" i="1"/>
  <c r="D52" i="1" s="1"/>
  <c r="O30" i="1"/>
  <c r="P30" i="1" s="1"/>
  <c r="R30" i="1" s="1"/>
  <c r="B44" i="1"/>
  <c r="C44" i="1"/>
  <c r="C53" i="1" s="1"/>
  <c r="E54" i="1"/>
  <c r="E44" i="1"/>
  <c r="E53" i="1" s="1"/>
  <c r="B55" i="1"/>
  <c r="O28" i="1"/>
  <c r="P28" i="1" s="1"/>
  <c r="R28" i="1" s="1"/>
  <c r="F44" i="1"/>
  <c r="F53" i="1" s="1"/>
  <c r="C55" i="1"/>
  <c r="B45" i="1"/>
  <c r="D55" i="1"/>
  <c r="C45" i="1"/>
  <c r="C54" i="1" s="1"/>
  <c r="E55" i="1"/>
  <c r="O27" i="1" s="1"/>
  <c r="P27" i="1" s="1"/>
  <c r="R27" i="1" s="1"/>
  <c r="D45" i="1"/>
  <c r="D54" i="1" s="1"/>
  <c r="F55" i="1"/>
  <c r="F45" i="1"/>
  <c r="F54" i="1" s="1"/>
  <c r="O17" i="1" l="1"/>
  <c r="P17" i="1" s="1"/>
  <c r="R17" i="1" s="1"/>
  <c r="O22" i="1"/>
  <c r="P22" i="1" s="1"/>
  <c r="R22" i="1" s="1"/>
  <c r="O23" i="1"/>
  <c r="P23" i="1" s="1"/>
  <c r="R23" i="1" s="1"/>
  <c r="B54" i="1"/>
  <c r="O24" i="1"/>
  <c r="P24" i="1" s="1"/>
  <c r="R24" i="1" s="1"/>
  <c r="O16" i="1"/>
  <c r="P16" i="1" s="1"/>
  <c r="R16" i="1" s="1"/>
  <c r="N6" i="1" s="1"/>
  <c r="O26" i="1"/>
  <c r="P26" i="1" s="1"/>
  <c r="R26" i="1" s="1"/>
  <c r="O21" i="1"/>
  <c r="P21" i="1" s="1"/>
  <c r="R21" i="1" s="1"/>
  <c r="O20" i="1"/>
  <c r="P20" i="1" s="1"/>
  <c r="R20" i="1" s="1"/>
  <c r="O19" i="1"/>
  <c r="P19" i="1" s="1"/>
  <c r="R19" i="1" s="1"/>
  <c r="B53" i="1"/>
  <c r="P29" i="1"/>
  <c r="R29" i="1" s="1"/>
  <c r="O18" i="1"/>
  <c r="P18" i="1" s="1"/>
  <c r="R18" i="1" s="1"/>
</calcChain>
</file>

<file path=xl/sharedStrings.xml><?xml version="1.0" encoding="utf-8"?>
<sst xmlns="http://schemas.openxmlformats.org/spreadsheetml/2006/main" count="304" uniqueCount="48">
  <si>
    <t>老虎機數學入門 PART I - Excel 實作</t>
  </si>
  <si>
    <t>Source: https://ezslotdesign.com/firstslotmath/</t>
  </si>
  <si>
    <t>轉輪表</t>
  </si>
  <si>
    <t>賠率表</t>
  </si>
  <si>
    <t>RTP 摘要</t>
  </si>
  <si>
    <t>#</t>
  </si>
  <si>
    <t>轉輪1</t>
  </si>
  <si>
    <t>轉輪2</t>
  </si>
  <si>
    <t>轉輪3</t>
  </si>
  <si>
    <t>轉輪4</t>
  </si>
  <si>
    <t>轉輪5</t>
  </si>
  <si>
    <t>圖案</t>
  </si>
  <si>
    <t>3連線</t>
  </si>
  <si>
    <t>4連線</t>
  </si>
  <si>
    <t>5連線</t>
  </si>
  <si>
    <t>所有可能數</t>
  </si>
  <si>
    <t>K</t>
  </si>
  <si>
    <t>W</t>
  </si>
  <si>
    <t>總期望值</t>
  </si>
  <si>
    <t>Q</t>
  </si>
  <si>
    <t>押線數</t>
  </si>
  <si>
    <t>J</t>
  </si>
  <si>
    <t>視窗</t>
  </si>
  <si>
    <t>3x5</t>
  </si>
  <si>
    <t>10</t>
  </si>
  <si>
    <t>9</t>
  </si>
  <si>
    <t>S</t>
  </si>
  <si>
    <t>得分組合與期望值</t>
  </si>
  <si>
    <t>連線數</t>
  </si>
  <si>
    <t>出現次數</t>
  </si>
  <si>
    <t>出現機率</t>
  </si>
  <si>
    <t>得分數</t>
  </si>
  <si>
    <t>期望值</t>
  </si>
  <si>
    <t>-</t>
  </si>
  <si>
    <t>3*S</t>
  </si>
  <si>
    <t>WK</t>
  </si>
  <si>
    <t>X_WK</t>
  </si>
  <si>
    <t>WQ</t>
  </si>
  <si>
    <t>X_WQ</t>
  </si>
  <si>
    <t>WJ</t>
  </si>
  <si>
    <t>X_WJ</t>
  </si>
  <si>
    <t>W10</t>
  </si>
  <si>
    <t>X_W10</t>
  </si>
  <si>
    <t>各圖案在轉輪表上出現的次數</t>
  </si>
  <si>
    <t>W9</t>
  </si>
  <si>
    <t>X_W9</t>
  </si>
  <si>
    <t>WILD + 各圖案個數</t>
  </si>
  <si>
    <t>非 WILD 也非各圖案的個數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</si>
</sst>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00"/>
  </numFmts>
  <fonts count="10">
    <font>
      <sz val="11"/>
      <name val="Carlito"/>
    </font>
    <font>
      <b/>
      <sz val="15"/>
      <color rgb="FFFFFFFF"/>
      <name val="Aptos"/>
    </font>
    <font>
      <b/>
      <sz val="10"/>
      <color rgb="FFFFFFFF"/>
      <name val="Aptos"/>
    </font>
    <font>
      <sz val="10"/>
      <name val="Aptos"/>
    </font>
    <font>
      <sz val="10"/>
      <color rgb="FF215043"/>
      <name val="Aptos"/>
    </font>
    <font>
      <b/>
      <sz val="10"/>
      <color rgb="FF12362F"/>
      <name val="Aptos"/>
    </font>
    <font>
      <b/>
      <sz val="10"/>
      <name val="Aptos"/>
    </font>
    <font>
      <b/>
      <sz val="10"/>
      <color rgb="FF3E2C00"/>
      <name val="Aptos"/>
    </font>
    <font>
      <sz val="11"/>
      <name val="Carlito"/>
    </font>
    <font>
      <sz val="9"/>
      <name val="細明體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143D36"/>
      </patternFill>
    </fill>
    <fill>
      <patternFill patternType="solid">
        <fgColor rgb="FFE8F3EC"/>
      </patternFill>
    </fill>
    <fill>
      <patternFill patternType="solid">
        <fgColor rgb="FF2F6F5E"/>
      </patternFill>
    </fill>
    <fill>
      <patternFill patternType="solid">
        <fgColor rgb="FFCFE7D5"/>
      </patternFill>
    </fill>
    <fill>
      <patternFill patternType="solid">
        <fgColor rgb="FFF7D774"/>
      </patternFill>
    </fill>
  </fills>
  <borders count="2">
    <border>
      <left/>
      <right/>
      <top/>
      <bottom/>
      <diagonal/>
    </border>
    <border>
      <left style="thin">
        <color rgb="FFAFC8BA"/>
      </left>
      <right style="thin">
        <color rgb="FFAFC8BA"/>
      </right>
      <top style="thin">
        <color rgb="FFAFC8BA"/>
      </top>
      <bottom style="thin">
        <color rgb="FFAFC8BA"/>
      </bottom>
      <diagonal/>
    </border>
  </borders>
  <cellStyleXfs count="2">
    <xf numFmtId="0" fontId="0" fillId="0" borderId="0"/>
    <xf numFmtId="0" fontId="8" fillId="0" borderId="0"/>
  </cellStyleXfs>
  <cellXfs count="16">
    <xf numFmtId="0" fontId="0" fillId="0" borderId="0" xfId="0"/>
    <xf numFmtId="0" fontId="3" fillId="0" borderId="0" xfId="1" applyNumberFormat="1" applyFont="1" applyFill="1" applyBorder="1" applyAlignment="1"/>
    <xf numFmtId="0" fontId="5" fillId="5" borderId="1" xfId="1" applyNumberFormat="1" applyFont="1" applyFill="1" applyBorder="1" applyAlignment="1">
      <alignment horizontal="center" vertical="center"/>
    </xf>
    <xf numFmtId="3" fontId="5" fillId="5" borderId="1" xfId="1" applyNumberFormat="1" applyFont="1" applyFill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/>
    </xf>
    <xf numFmtId="3" fontId="3" fillId="0" borderId="1" xfId="1" applyNumberFormat="1" applyFont="1" applyFill="1" applyBorder="1" applyAlignment="1">
      <alignment vertical="center"/>
    </xf>
    <xf numFmtId="0" fontId="6" fillId="0" borderId="1" xfId="1" applyNumberFormat="1" applyFont="1" applyFill="1" applyBorder="1" applyAlignment="1">
      <alignment vertical="center"/>
    </xf>
    <xf numFmtId="9" fontId="7" fillId="6" borderId="1" xfId="1" applyNumberFormat="1" applyFont="1" applyFill="1" applyBorder="1" applyAlignment="1">
      <alignment horizontal="right" vertical="center"/>
    </xf>
    <xf numFmtId="0" fontId="3" fillId="0" borderId="1" xfId="1" applyNumberFormat="1" applyFont="1" applyFill="1" applyBorder="1" applyAlignment="1">
      <alignment vertical="center"/>
    </xf>
    <xf numFmtId="3" fontId="3" fillId="0" borderId="1" xfId="1" applyNumberFormat="1" applyFont="1" applyFill="1" applyBorder="1" applyAlignment="1">
      <alignment horizontal="right" vertical="center"/>
    </xf>
    <xf numFmtId="176" fontId="3" fillId="0" borderId="1" xfId="1" applyNumberFormat="1" applyFont="1" applyFill="1" applyBorder="1" applyAlignment="1">
      <alignment horizontal="right" vertical="center"/>
    </xf>
    <xf numFmtId="0" fontId="3" fillId="0" borderId="1" xfId="1" applyNumberFormat="1" applyFont="1" applyFill="1" applyBorder="1" applyAlignment="1">
      <alignment horizontal="right" vertical="center"/>
    </xf>
    <xf numFmtId="9" fontId="3" fillId="0" borderId="1" xfId="1" applyNumberFormat="1" applyFont="1" applyFill="1" applyBorder="1" applyAlignment="1">
      <alignment horizontal="right" vertical="center"/>
    </xf>
    <xf numFmtId="0" fontId="1" fillId="2" borderId="0" xfId="1" applyNumberFormat="1" applyFont="1" applyFill="1" applyBorder="1" applyAlignment="1">
      <alignment horizontal="center" vertical="center"/>
    </xf>
    <xf numFmtId="0" fontId="4" fillId="3" borderId="0" xfId="1" applyNumberFormat="1" applyFont="1" applyFill="1" applyBorder="1" applyAlignment="1"/>
    <xf numFmtId="0" fontId="2" fillId="4" borderId="0" xfId="1" applyNumberFormat="1" applyFont="1" applyFill="1" applyBorder="1" applyAlignment="1">
      <alignment horizontal="center"/>
    </xf>
  </cellXfs>
  <cellStyles count="2">
    <cellStyle name="Normal" xfId="1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9"/>
  <sheetViews>
    <sheetView showGridLines="0" tabSelected="1" workbookViewId="0">
      <selection activeCell="L36" sqref="L36"/>
    </sheetView>
  </sheetViews>
  <sheetFormatPr defaultRowHeight="14.25"/>
  <cols>
    <col min="1" max="6" width="11" customWidth="1"/>
    <col min="7" max="7" width="3" customWidth="1"/>
    <col min="8" max="12" width="11" customWidth="1"/>
    <col min="13" max="13" width="13" customWidth="1"/>
    <col min="14" max="14" width="11" customWidth="1"/>
    <col min="15" max="15" width="13" customWidth="1"/>
    <col min="16" max="17" width="11" customWidth="1"/>
    <col min="18" max="18" width="10" customWidth="1"/>
  </cols>
  <sheetData>
    <row r="1" spans="1:18" ht="27.95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"/>
      <c r="L1" s="1"/>
      <c r="M1" s="1"/>
      <c r="N1" s="1"/>
      <c r="O1" s="1"/>
      <c r="P1" s="1"/>
      <c r="Q1" s="1"/>
      <c r="R1" s="1"/>
    </row>
    <row r="2" spans="1:18">
      <c r="A2" s="14" t="s">
        <v>1</v>
      </c>
      <c r="B2" s="14"/>
      <c r="C2" s="14"/>
      <c r="D2" s="14"/>
      <c r="E2" s="14"/>
      <c r="F2" s="14"/>
      <c r="G2" s="14"/>
      <c r="H2" s="14"/>
      <c r="I2" s="14"/>
      <c r="J2" s="14"/>
      <c r="K2" s="1"/>
      <c r="L2" s="1"/>
      <c r="M2" s="1"/>
      <c r="N2" s="1"/>
      <c r="O2" s="1"/>
      <c r="P2" s="1"/>
      <c r="Q2" s="1"/>
      <c r="R2" s="1"/>
    </row>
    <row r="3" spans="1:18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>
      <c r="A4" s="15" t="s">
        <v>2</v>
      </c>
      <c r="B4" s="15" t="s">
        <v>2</v>
      </c>
      <c r="C4" s="15" t="s">
        <v>2</v>
      </c>
      <c r="D4" s="15" t="s">
        <v>2</v>
      </c>
      <c r="E4" s="15" t="s">
        <v>2</v>
      </c>
      <c r="F4" s="15" t="s">
        <v>2</v>
      </c>
      <c r="G4" s="1"/>
      <c r="H4" s="15" t="s">
        <v>3</v>
      </c>
      <c r="I4" s="15" t="s">
        <v>3</v>
      </c>
      <c r="J4" s="15" t="s">
        <v>3</v>
      </c>
      <c r="K4" s="15" t="s">
        <v>3</v>
      </c>
      <c r="L4" s="1"/>
      <c r="M4" s="15" t="s">
        <v>4</v>
      </c>
      <c r="N4" s="15" t="s">
        <v>4</v>
      </c>
      <c r="O4" s="1"/>
      <c r="P4" s="1"/>
      <c r="Q4" s="1"/>
      <c r="R4" s="1"/>
    </row>
    <row r="5" spans="1:18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1"/>
      <c r="H5" s="2" t="s">
        <v>11</v>
      </c>
      <c r="I5" s="2" t="s">
        <v>12</v>
      </c>
      <c r="J5" s="2" t="s">
        <v>13</v>
      </c>
      <c r="K5" s="2" t="s">
        <v>14</v>
      </c>
      <c r="L5" s="1"/>
      <c r="M5" s="2" t="s">
        <v>15</v>
      </c>
      <c r="N5" s="3">
        <f>PRODUCT(B38:F38)</f>
        <v>3200000</v>
      </c>
      <c r="O5" s="1"/>
      <c r="P5" s="1"/>
      <c r="Q5" s="1"/>
      <c r="R5" s="1"/>
    </row>
    <row r="6" spans="1:18">
      <c r="A6" s="4">
        <v>1</v>
      </c>
      <c r="B6" s="4" t="s">
        <v>16</v>
      </c>
      <c r="C6" s="4" t="s">
        <v>17</v>
      </c>
      <c r="D6" s="4" t="s">
        <v>17</v>
      </c>
      <c r="E6" s="4" t="s">
        <v>17</v>
      </c>
      <c r="F6" s="4" t="s">
        <v>17</v>
      </c>
      <c r="G6" s="1"/>
      <c r="H6" s="4" t="s">
        <v>16</v>
      </c>
      <c r="I6" s="5">
        <v>5</v>
      </c>
      <c r="J6" s="5">
        <v>30</v>
      </c>
      <c r="K6" s="5">
        <v>100</v>
      </c>
      <c r="L6" s="1"/>
      <c r="M6" s="6" t="s">
        <v>18</v>
      </c>
      <c r="N6" s="7">
        <f>SUM(R15:R30)</f>
        <v>0.80054375000000011</v>
      </c>
      <c r="O6" s="1"/>
      <c r="P6" s="1"/>
      <c r="Q6" s="1"/>
      <c r="R6" s="1"/>
    </row>
    <row r="7" spans="1:18">
      <c r="A7" s="4">
        <v>2</v>
      </c>
      <c r="B7" s="4" t="s">
        <v>19</v>
      </c>
      <c r="C7" s="4" t="s">
        <v>16</v>
      </c>
      <c r="D7" s="4" t="s">
        <v>16</v>
      </c>
      <c r="E7" s="4" t="s">
        <v>16</v>
      </c>
      <c r="F7" s="4" t="s">
        <v>16</v>
      </c>
      <c r="G7" s="1"/>
      <c r="H7" s="4" t="s">
        <v>19</v>
      </c>
      <c r="I7" s="5">
        <v>5</v>
      </c>
      <c r="J7" s="5">
        <v>25</v>
      </c>
      <c r="K7" s="5">
        <v>100</v>
      </c>
      <c r="L7" s="1"/>
      <c r="M7" s="6" t="s">
        <v>20</v>
      </c>
      <c r="N7" s="8">
        <v>1</v>
      </c>
      <c r="O7" s="1"/>
      <c r="P7" s="1"/>
      <c r="Q7" s="1"/>
      <c r="R7" s="1"/>
    </row>
    <row r="8" spans="1:18">
      <c r="A8" s="4">
        <v>3</v>
      </c>
      <c r="B8" s="4" t="s">
        <v>21</v>
      </c>
      <c r="C8" s="4" t="s">
        <v>19</v>
      </c>
      <c r="D8" s="4" t="s">
        <v>19</v>
      </c>
      <c r="E8" s="4" t="s">
        <v>19</v>
      </c>
      <c r="F8" s="4" t="s">
        <v>19</v>
      </c>
      <c r="G8" s="1"/>
      <c r="H8" s="4" t="s">
        <v>21</v>
      </c>
      <c r="I8" s="5">
        <v>5</v>
      </c>
      <c r="J8" s="5">
        <v>20</v>
      </c>
      <c r="K8" s="5">
        <v>75</v>
      </c>
      <c r="L8" s="1"/>
      <c r="M8" s="6" t="s">
        <v>22</v>
      </c>
      <c r="N8" s="8" t="s">
        <v>23</v>
      </c>
      <c r="O8" s="1"/>
      <c r="P8" s="1"/>
      <c r="Q8" s="1"/>
      <c r="R8" s="1"/>
    </row>
    <row r="9" spans="1:18">
      <c r="A9" s="4">
        <v>4</v>
      </c>
      <c r="B9" s="4" t="s">
        <v>24</v>
      </c>
      <c r="C9" s="4" t="s">
        <v>21</v>
      </c>
      <c r="D9" s="4" t="s">
        <v>21</v>
      </c>
      <c r="E9" s="4" t="s">
        <v>21</v>
      </c>
      <c r="F9" s="4" t="s">
        <v>21</v>
      </c>
      <c r="G9" s="1"/>
      <c r="H9" s="4" t="s">
        <v>24</v>
      </c>
      <c r="I9" s="5">
        <v>5</v>
      </c>
      <c r="J9" s="5">
        <v>20</v>
      </c>
      <c r="K9" s="5">
        <v>75</v>
      </c>
      <c r="L9" s="1"/>
      <c r="M9" s="1"/>
      <c r="N9" s="1"/>
      <c r="O9" s="1"/>
      <c r="P9" s="1"/>
      <c r="Q9" s="1"/>
      <c r="R9" s="1"/>
    </row>
    <row r="10" spans="1:18">
      <c r="A10" s="4">
        <v>5</v>
      </c>
      <c r="B10" s="4" t="s">
        <v>25</v>
      </c>
      <c r="C10" s="4" t="s">
        <v>24</v>
      </c>
      <c r="D10" s="4" t="s">
        <v>24</v>
      </c>
      <c r="E10" s="4" t="s">
        <v>24</v>
      </c>
      <c r="F10" s="4" t="s">
        <v>24</v>
      </c>
      <c r="G10" s="1"/>
      <c r="H10" s="4" t="s">
        <v>25</v>
      </c>
      <c r="I10" s="5">
        <v>5</v>
      </c>
      <c r="J10" s="5">
        <v>10</v>
      </c>
      <c r="K10" s="5">
        <v>50</v>
      </c>
      <c r="L10" s="1"/>
      <c r="M10" s="1"/>
      <c r="N10" s="1"/>
      <c r="O10" s="1"/>
      <c r="P10" s="1"/>
      <c r="Q10" s="1"/>
      <c r="R10" s="1"/>
    </row>
    <row r="11" spans="1:18">
      <c r="A11" s="4">
        <v>6</v>
      </c>
      <c r="B11" s="4" t="s">
        <v>25</v>
      </c>
      <c r="C11" s="4" t="s">
        <v>25</v>
      </c>
      <c r="D11" s="4" t="s">
        <v>25</v>
      </c>
      <c r="E11" s="4" t="s">
        <v>25</v>
      </c>
      <c r="F11" s="4" t="s">
        <v>25</v>
      </c>
      <c r="G11" s="1"/>
      <c r="H11" s="4" t="s">
        <v>26</v>
      </c>
      <c r="I11" s="5">
        <v>50</v>
      </c>
      <c r="J11" s="5">
        <v>0</v>
      </c>
      <c r="K11" s="5">
        <v>0</v>
      </c>
      <c r="L11" s="1"/>
      <c r="M11" s="1"/>
      <c r="N11" s="1"/>
      <c r="O11" s="1"/>
      <c r="P11" s="1"/>
      <c r="Q11" s="1"/>
      <c r="R11" s="1"/>
    </row>
    <row r="12" spans="1:18">
      <c r="A12" s="4">
        <v>7</v>
      </c>
      <c r="B12" s="4" t="s">
        <v>16</v>
      </c>
      <c r="C12" s="4" t="s">
        <v>26</v>
      </c>
      <c r="D12" s="4" t="s">
        <v>26</v>
      </c>
      <c r="E12" s="4" t="s">
        <v>26</v>
      </c>
      <c r="F12" s="4" t="s">
        <v>25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>
      <c r="A13" s="4">
        <v>8</v>
      </c>
      <c r="B13" s="4" t="s">
        <v>19</v>
      </c>
      <c r="C13" s="4" t="s">
        <v>16</v>
      </c>
      <c r="D13" s="4" t="s">
        <v>16</v>
      </c>
      <c r="E13" s="4" t="s">
        <v>16</v>
      </c>
      <c r="F13" s="4" t="s">
        <v>16</v>
      </c>
      <c r="G13" s="1"/>
      <c r="H13" s="15" t="s">
        <v>27</v>
      </c>
      <c r="I13" s="15" t="s">
        <v>27</v>
      </c>
      <c r="J13" s="15" t="s">
        <v>27</v>
      </c>
      <c r="K13" s="15" t="s">
        <v>27</v>
      </c>
      <c r="L13" s="15" t="s">
        <v>27</v>
      </c>
      <c r="M13" s="15" t="s">
        <v>27</v>
      </c>
      <c r="N13" s="15" t="s">
        <v>27</v>
      </c>
      <c r="O13" s="1"/>
      <c r="P13" s="1"/>
      <c r="Q13" s="1"/>
      <c r="R13" s="1"/>
    </row>
    <row r="14" spans="1:18">
      <c r="A14" s="4">
        <v>9</v>
      </c>
      <c r="B14" s="4" t="s">
        <v>21</v>
      </c>
      <c r="C14" s="4" t="s">
        <v>19</v>
      </c>
      <c r="D14" s="4" t="s">
        <v>19</v>
      </c>
      <c r="E14" s="4" t="s">
        <v>19</v>
      </c>
      <c r="F14" s="4" t="s">
        <v>19</v>
      </c>
      <c r="G14" s="1"/>
      <c r="H14" s="2" t="s">
        <v>11</v>
      </c>
      <c r="I14" s="2" t="s">
        <v>28</v>
      </c>
      <c r="J14" s="2" t="s">
        <v>6</v>
      </c>
      <c r="K14" s="2" t="s">
        <v>7</v>
      </c>
      <c r="L14" s="2" t="s">
        <v>8</v>
      </c>
      <c r="M14" s="2" t="s">
        <v>9</v>
      </c>
      <c r="N14" s="2" t="s">
        <v>10</v>
      </c>
      <c r="O14" s="2" t="s">
        <v>29</v>
      </c>
      <c r="P14" s="2" t="s">
        <v>30</v>
      </c>
      <c r="Q14" s="2" t="s">
        <v>31</v>
      </c>
      <c r="R14" s="2" t="s">
        <v>32</v>
      </c>
    </row>
    <row r="15" spans="1:18">
      <c r="A15" s="4">
        <v>10</v>
      </c>
      <c r="B15" s="4" t="s">
        <v>24</v>
      </c>
      <c r="C15" s="4" t="s">
        <v>21</v>
      </c>
      <c r="D15" s="4" t="s">
        <v>21</v>
      </c>
      <c r="E15" s="4" t="s">
        <v>21</v>
      </c>
      <c r="F15" s="4" t="s">
        <v>21</v>
      </c>
      <c r="G15" s="1"/>
      <c r="H15" s="4" t="s">
        <v>26</v>
      </c>
      <c r="I15" s="4">
        <v>3</v>
      </c>
      <c r="J15" s="4" t="s">
        <v>33</v>
      </c>
      <c r="K15" s="4" t="s">
        <v>34</v>
      </c>
      <c r="L15" s="4" t="s">
        <v>34</v>
      </c>
      <c r="M15" s="4" t="s">
        <v>34</v>
      </c>
      <c r="N15" s="4" t="s">
        <v>33</v>
      </c>
      <c r="O15" s="9">
        <f t="shared" ref="O15:O30" si="0">PRODUCT(VLOOKUP(J15,$A$29:$F$56,2,FALSE),VLOOKUP(K15,$A$29:$F$56,3,FALSE),VLOOKUP(L15,$A$29:$F$56,4,FALSE),VLOOKUP(M15,$A$29:$F$56,5,FALSE),VLOOKUP(N15,$A$29:$F$56,6,FALSE))</f>
        <v>10800</v>
      </c>
      <c r="P15" s="10">
        <f t="shared" ref="P15:P30" si="1">O15/$N$5</f>
        <v>3.375E-3</v>
      </c>
      <c r="Q15" s="11">
        <f t="shared" ref="Q15:Q30" si="2">INDEX($I$6:$K$11,MATCH(H15,$H$6:$H$11,0),MATCH(I15&amp;"連線",$I$5:$K$5,0))</f>
        <v>50</v>
      </c>
      <c r="R15" s="12">
        <f t="shared" ref="R15:R30" si="3">P15*Q15</f>
        <v>0.16875000000000001</v>
      </c>
    </row>
    <row r="16" spans="1:18">
      <c r="A16" s="4">
        <v>11</v>
      </c>
      <c r="B16" s="4" t="s">
        <v>25</v>
      </c>
      <c r="C16" s="4" t="s">
        <v>24</v>
      </c>
      <c r="D16" s="4" t="s">
        <v>24</v>
      </c>
      <c r="E16" s="4" t="s">
        <v>24</v>
      </c>
      <c r="F16" s="4" t="s">
        <v>24</v>
      </c>
      <c r="G16" s="1"/>
      <c r="H16" s="4" t="s">
        <v>16</v>
      </c>
      <c r="I16" s="4">
        <v>5</v>
      </c>
      <c r="J16" s="4" t="s">
        <v>35</v>
      </c>
      <c r="K16" s="4" t="s">
        <v>35</v>
      </c>
      <c r="L16" s="4" t="s">
        <v>35</v>
      </c>
      <c r="M16" s="4" t="s">
        <v>35</v>
      </c>
      <c r="N16" s="4" t="s">
        <v>35</v>
      </c>
      <c r="O16" s="9">
        <f t="shared" si="0"/>
        <v>512</v>
      </c>
      <c r="P16" s="10">
        <f t="shared" si="1"/>
        <v>1.6000000000000001E-4</v>
      </c>
      <c r="Q16" s="11">
        <f t="shared" si="2"/>
        <v>100</v>
      </c>
      <c r="R16" s="12">
        <f t="shared" si="3"/>
        <v>1.6E-2</v>
      </c>
    </row>
    <row r="17" spans="1:18">
      <c r="A17" s="4">
        <v>12</v>
      </c>
      <c r="B17" s="4" t="s">
        <v>24</v>
      </c>
      <c r="C17" s="4" t="s">
        <v>25</v>
      </c>
      <c r="D17" s="4" t="s">
        <v>25</v>
      </c>
      <c r="E17" s="4" t="s">
        <v>25</v>
      </c>
      <c r="F17" s="4" t="s">
        <v>25</v>
      </c>
      <c r="G17" s="1"/>
      <c r="H17" s="4" t="s">
        <v>16</v>
      </c>
      <c r="I17" s="4">
        <v>4</v>
      </c>
      <c r="J17" s="4" t="s">
        <v>35</v>
      </c>
      <c r="K17" s="4" t="s">
        <v>35</v>
      </c>
      <c r="L17" s="4" t="s">
        <v>35</v>
      </c>
      <c r="M17" s="4" t="s">
        <v>35</v>
      </c>
      <c r="N17" s="4" t="s">
        <v>36</v>
      </c>
      <c r="O17" s="9">
        <f t="shared" si="0"/>
        <v>2048</v>
      </c>
      <c r="P17" s="10">
        <f t="shared" si="1"/>
        <v>6.4000000000000005E-4</v>
      </c>
      <c r="Q17" s="11">
        <f t="shared" si="2"/>
        <v>30</v>
      </c>
      <c r="R17" s="12">
        <f t="shared" si="3"/>
        <v>1.9200000000000002E-2</v>
      </c>
    </row>
    <row r="18" spans="1:18">
      <c r="A18" s="4">
        <v>13</v>
      </c>
      <c r="B18" s="4" t="s">
        <v>19</v>
      </c>
      <c r="C18" s="4" t="s">
        <v>16</v>
      </c>
      <c r="D18" s="4" t="s">
        <v>16</v>
      </c>
      <c r="E18" s="4" t="s">
        <v>16</v>
      </c>
      <c r="F18" s="4" t="s">
        <v>16</v>
      </c>
      <c r="G18" s="1"/>
      <c r="H18" s="4" t="s">
        <v>16</v>
      </c>
      <c r="I18" s="4">
        <v>3</v>
      </c>
      <c r="J18" s="4" t="s">
        <v>35</v>
      </c>
      <c r="K18" s="4" t="s">
        <v>35</v>
      </c>
      <c r="L18" s="4" t="s">
        <v>35</v>
      </c>
      <c r="M18" s="4" t="s">
        <v>36</v>
      </c>
      <c r="N18" s="4" t="s">
        <v>33</v>
      </c>
      <c r="O18" s="9">
        <f t="shared" si="0"/>
        <v>10240</v>
      </c>
      <c r="P18" s="10">
        <f t="shared" si="1"/>
        <v>3.2000000000000002E-3</v>
      </c>
      <c r="Q18" s="11">
        <f t="shared" si="2"/>
        <v>5</v>
      </c>
      <c r="R18" s="12">
        <f t="shared" si="3"/>
        <v>1.6E-2</v>
      </c>
    </row>
    <row r="19" spans="1:18">
      <c r="A19" s="4">
        <v>14</v>
      </c>
      <c r="B19" s="4" t="s">
        <v>21</v>
      </c>
      <c r="C19" s="4" t="s">
        <v>19</v>
      </c>
      <c r="D19" s="4" t="s">
        <v>19</v>
      </c>
      <c r="E19" s="4" t="s">
        <v>19</v>
      </c>
      <c r="F19" s="4" t="s">
        <v>19</v>
      </c>
      <c r="G19" s="1"/>
      <c r="H19" s="4" t="s">
        <v>19</v>
      </c>
      <c r="I19" s="4">
        <v>5</v>
      </c>
      <c r="J19" s="4" t="s">
        <v>37</v>
      </c>
      <c r="K19" s="4" t="s">
        <v>37</v>
      </c>
      <c r="L19" s="4" t="s">
        <v>37</v>
      </c>
      <c r="M19" s="4" t="s">
        <v>37</v>
      </c>
      <c r="N19" s="4" t="s">
        <v>37</v>
      </c>
      <c r="O19" s="9">
        <f t="shared" si="0"/>
        <v>768</v>
      </c>
      <c r="P19" s="10">
        <f t="shared" si="1"/>
        <v>2.4000000000000001E-4</v>
      </c>
      <c r="Q19" s="11">
        <f t="shared" si="2"/>
        <v>100</v>
      </c>
      <c r="R19" s="12">
        <f t="shared" si="3"/>
        <v>2.4E-2</v>
      </c>
    </row>
    <row r="20" spans="1:18">
      <c r="A20" s="4">
        <v>15</v>
      </c>
      <c r="B20" s="4" t="s">
        <v>24</v>
      </c>
      <c r="C20" s="4" t="s">
        <v>21</v>
      </c>
      <c r="D20" s="4" t="s">
        <v>21</v>
      </c>
      <c r="E20" s="4" t="s">
        <v>21</v>
      </c>
      <c r="F20" s="4" t="s">
        <v>21</v>
      </c>
      <c r="G20" s="1"/>
      <c r="H20" s="4" t="s">
        <v>19</v>
      </c>
      <c r="I20" s="4">
        <v>4</v>
      </c>
      <c r="J20" s="4" t="s">
        <v>37</v>
      </c>
      <c r="K20" s="4" t="s">
        <v>37</v>
      </c>
      <c r="L20" s="4" t="s">
        <v>37</v>
      </c>
      <c r="M20" s="4" t="s">
        <v>37</v>
      </c>
      <c r="N20" s="4" t="s">
        <v>38</v>
      </c>
      <c r="O20" s="9">
        <f t="shared" si="0"/>
        <v>3072</v>
      </c>
      <c r="P20" s="10">
        <f t="shared" si="1"/>
        <v>9.6000000000000002E-4</v>
      </c>
      <c r="Q20" s="11">
        <f t="shared" si="2"/>
        <v>25</v>
      </c>
      <c r="R20" s="12">
        <f t="shared" si="3"/>
        <v>2.4E-2</v>
      </c>
    </row>
    <row r="21" spans="1:18">
      <c r="A21" s="4">
        <v>16</v>
      </c>
      <c r="B21" s="4" t="s">
        <v>25</v>
      </c>
      <c r="C21" s="4" t="s">
        <v>24</v>
      </c>
      <c r="D21" s="4" t="s">
        <v>24</v>
      </c>
      <c r="E21" s="4" t="s">
        <v>24</v>
      </c>
      <c r="F21" s="4" t="s">
        <v>24</v>
      </c>
      <c r="G21" s="1"/>
      <c r="H21" s="4" t="s">
        <v>19</v>
      </c>
      <c r="I21" s="4">
        <v>3</v>
      </c>
      <c r="J21" s="4" t="s">
        <v>37</v>
      </c>
      <c r="K21" s="4" t="s">
        <v>37</v>
      </c>
      <c r="L21" s="4" t="s">
        <v>37</v>
      </c>
      <c r="M21" s="4" t="s">
        <v>38</v>
      </c>
      <c r="N21" s="4" t="s">
        <v>33</v>
      </c>
      <c r="O21" s="9">
        <f t="shared" si="0"/>
        <v>15360</v>
      </c>
      <c r="P21" s="10">
        <f t="shared" si="1"/>
        <v>4.7999999999999996E-3</v>
      </c>
      <c r="Q21" s="11">
        <f t="shared" si="2"/>
        <v>5</v>
      </c>
      <c r="R21" s="12">
        <f t="shared" si="3"/>
        <v>2.3999999999999997E-2</v>
      </c>
    </row>
    <row r="22" spans="1:18">
      <c r="A22" s="4">
        <v>17</v>
      </c>
      <c r="B22" s="4" t="s">
        <v>25</v>
      </c>
      <c r="C22" s="4" t="s">
        <v>25</v>
      </c>
      <c r="D22" s="4" t="s">
        <v>25</v>
      </c>
      <c r="E22" s="4" t="s">
        <v>25</v>
      </c>
      <c r="F22" s="4" t="s">
        <v>25</v>
      </c>
      <c r="G22" s="1"/>
      <c r="H22" s="4" t="s">
        <v>21</v>
      </c>
      <c r="I22" s="4">
        <v>5</v>
      </c>
      <c r="J22" s="4" t="s">
        <v>39</v>
      </c>
      <c r="K22" s="4" t="s">
        <v>39</v>
      </c>
      <c r="L22" s="4" t="s">
        <v>39</v>
      </c>
      <c r="M22" s="4" t="s">
        <v>39</v>
      </c>
      <c r="N22" s="4" t="s">
        <v>39</v>
      </c>
      <c r="O22" s="9">
        <f t="shared" si="0"/>
        <v>3000</v>
      </c>
      <c r="P22" s="10">
        <f t="shared" si="1"/>
        <v>9.3749999999999997E-4</v>
      </c>
      <c r="Q22" s="11">
        <f t="shared" si="2"/>
        <v>75</v>
      </c>
      <c r="R22" s="12">
        <f t="shared" si="3"/>
        <v>7.03125E-2</v>
      </c>
    </row>
    <row r="23" spans="1:18">
      <c r="A23" s="4">
        <v>18</v>
      </c>
      <c r="B23" s="4" t="s">
        <v>21</v>
      </c>
      <c r="C23" s="4" t="s">
        <v>21</v>
      </c>
      <c r="D23" s="4" t="s">
        <v>21</v>
      </c>
      <c r="E23" s="4" t="s">
        <v>21</v>
      </c>
      <c r="F23" s="4" t="s">
        <v>21</v>
      </c>
      <c r="G23" s="1"/>
      <c r="H23" s="4" t="s">
        <v>21</v>
      </c>
      <c r="I23" s="4">
        <v>4</v>
      </c>
      <c r="J23" s="4" t="s">
        <v>39</v>
      </c>
      <c r="K23" s="4" t="s">
        <v>39</v>
      </c>
      <c r="L23" s="4" t="s">
        <v>39</v>
      </c>
      <c r="M23" s="4" t="s">
        <v>39</v>
      </c>
      <c r="N23" s="4" t="s">
        <v>40</v>
      </c>
      <c r="O23" s="9">
        <f t="shared" si="0"/>
        <v>9000</v>
      </c>
      <c r="P23" s="10">
        <f t="shared" si="1"/>
        <v>2.8124999999999999E-3</v>
      </c>
      <c r="Q23" s="11">
        <f t="shared" si="2"/>
        <v>20</v>
      </c>
      <c r="R23" s="12">
        <f t="shared" si="3"/>
        <v>5.6249999999999994E-2</v>
      </c>
    </row>
    <row r="24" spans="1:18">
      <c r="A24" s="4">
        <v>19</v>
      </c>
      <c r="B24" s="4" t="s">
        <v>24</v>
      </c>
      <c r="C24" s="4" t="s">
        <v>21</v>
      </c>
      <c r="D24" s="4" t="s">
        <v>24</v>
      </c>
      <c r="E24" s="4" t="s">
        <v>24</v>
      </c>
      <c r="F24" s="4" t="s">
        <v>24</v>
      </c>
      <c r="G24" s="1"/>
      <c r="H24" s="4" t="s">
        <v>21</v>
      </c>
      <c r="I24" s="4">
        <v>3</v>
      </c>
      <c r="J24" s="4" t="s">
        <v>39</v>
      </c>
      <c r="K24" s="4" t="s">
        <v>39</v>
      </c>
      <c r="L24" s="4" t="s">
        <v>39</v>
      </c>
      <c r="M24" s="4" t="s">
        <v>40</v>
      </c>
      <c r="N24" s="4" t="s">
        <v>33</v>
      </c>
      <c r="O24" s="9">
        <f t="shared" si="0"/>
        <v>36000</v>
      </c>
      <c r="P24" s="10">
        <f t="shared" si="1"/>
        <v>1.125E-2</v>
      </c>
      <c r="Q24" s="11">
        <f t="shared" si="2"/>
        <v>5</v>
      </c>
      <c r="R24" s="12">
        <f t="shared" si="3"/>
        <v>5.6249999999999994E-2</v>
      </c>
    </row>
    <row r="25" spans="1:18">
      <c r="A25" s="4">
        <v>20</v>
      </c>
      <c r="B25" s="4" t="s">
        <v>25</v>
      </c>
      <c r="C25" s="4" t="s">
        <v>25</v>
      </c>
      <c r="D25" s="4" t="s">
        <v>25</v>
      </c>
      <c r="E25" s="4" t="s">
        <v>25</v>
      </c>
      <c r="F25" s="4" t="s">
        <v>25</v>
      </c>
      <c r="G25" s="1"/>
      <c r="H25" s="4" t="s">
        <v>24</v>
      </c>
      <c r="I25" s="4">
        <v>5</v>
      </c>
      <c r="J25" s="4" t="s">
        <v>41</v>
      </c>
      <c r="K25" s="4" t="s">
        <v>41</v>
      </c>
      <c r="L25" s="4" t="s">
        <v>41</v>
      </c>
      <c r="M25" s="4" t="s">
        <v>41</v>
      </c>
      <c r="N25" s="4" t="s">
        <v>41</v>
      </c>
      <c r="O25" s="9">
        <f t="shared" si="0"/>
        <v>2500</v>
      </c>
      <c r="P25" s="10">
        <f t="shared" si="1"/>
        <v>7.8125000000000004E-4</v>
      </c>
      <c r="Q25" s="11">
        <f t="shared" si="2"/>
        <v>75</v>
      </c>
      <c r="R25" s="12">
        <f t="shared" si="3"/>
        <v>5.859375E-2</v>
      </c>
    </row>
    <row r="26" spans="1:18">
      <c r="A26" s="1"/>
      <c r="B26" s="1"/>
      <c r="C26" s="1"/>
      <c r="D26" s="1"/>
      <c r="E26" s="1"/>
      <c r="F26" s="1"/>
      <c r="G26" s="1"/>
      <c r="H26" s="4" t="s">
        <v>24</v>
      </c>
      <c r="I26" s="4">
        <v>4</v>
      </c>
      <c r="J26" s="4" t="s">
        <v>41</v>
      </c>
      <c r="K26" s="4" t="s">
        <v>41</v>
      </c>
      <c r="L26" s="4" t="s">
        <v>41</v>
      </c>
      <c r="M26" s="4" t="s">
        <v>41</v>
      </c>
      <c r="N26" s="4" t="s">
        <v>42</v>
      </c>
      <c r="O26" s="9">
        <f t="shared" si="0"/>
        <v>7500</v>
      </c>
      <c r="P26" s="10">
        <f t="shared" si="1"/>
        <v>2.3437499999999999E-3</v>
      </c>
      <c r="Q26" s="11">
        <f t="shared" si="2"/>
        <v>20</v>
      </c>
      <c r="R26" s="12">
        <f t="shared" si="3"/>
        <v>4.6875E-2</v>
      </c>
    </row>
    <row r="27" spans="1:18">
      <c r="A27" s="1"/>
      <c r="B27" s="1"/>
      <c r="C27" s="1"/>
      <c r="D27" s="1"/>
      <c r="E27" s="1"/>
      <c r="F27" s="1"/>
      <c r="G27" s="1"/>
      <c r="H27" s="4" t="s">
        <v>24</v>
      </c>
      <c r="I27" s="4">
        <v>3</v>
      </c>
      <c r="J27" s="4" t="s">
        <v>41</v>
      </c>
      <c r="K27" s="4" t="s">
        <v>41</v>
      </c>
      <c r="L27" s="4" t="s">
        <v>41</v>
      </c>
      <c r="M27" s="4" t="s">
        <v>42</v>
      </c>
      <c r="N27" s="4" t="s">
        <v>33</v>
      </c>
      <c r="O27" s="9">
        <f t="shared" si="0"/>
        <v>30000</v>
      </c>
      <c r="P27" s="10">
        <f t="shared" si="1"/>
        <v>9.3749999999999997E-3</v>
      </c>
      <c r="Q27" s="11">
        <f t="shared" si="2"/>
        <v>5</v>
      </c>
      <c r="R27" s="12">
        <f t="shared" si="3"/>
        <v>4.6875E-2</v>
      </c>
    </row>
    <row r="28" spans="1:18">
      <c r="A28" s="15" t="s">
        <v>43</v>
      </c>
      <c r="B28" s="15" t="s">
        <v>43</v>
      </c>
      <c r="C28" s="15" t="s">
        <v>43</v>
      </c>
      <c r="D28" s="15" t="s">
        <v>43</v>
      </c>
      <c r="E28" s="15" t="s">
        <v>43</v>
      </c>
      <c r="F28" s="15" t="s">
        <v>43</v>
      </c>
      <c r="G28" s="1"/>
      <c r="H28" s="4" t="s">
        <v>25</v>
      </c>
      <c r="I28" s="4">
        <v>5</v>
      </c>
      <c r="J28" s="4" t="s">
        <v>44</v>
      </c>
      <c r="K28" s="4" t="s">
        <v>44</v>
      </c>
      <c r="L28" s="4" t="s">
        <v>44</v>
      </c>
      <c r="M28" s="4" t="s">
        <v>44</v>
      </c>
      <c r="N28" s="4" t="s">
        <v>44</v>
      </c>
      <c r="O28" s="9">
        <f t="shared" si="0"/>
        <v>4500</v>
      </c>
      <c r="P28" s="10">
        <f t="shared" si="1"/>
        <v>1.4062499999999999E-3</v>
      </c>
      <c r="Q28" s="11">
        <f t="shared" si="2"/>
        <v>50</v>
      </c>
      <c r="R28" s="12">
        <f t="shared" si="3"/>
        <v>7.03125E-2</v>
      </c>
    </row>
    <row r="29" spans="1:18">
      <c r="A29" s="2" t="s">
        <v>11</v>
      </c>
      <c r="B29" s="2" t="s">
        <v>6</v>
      </c>
      <c r="C29" s="2" t="s">
        <v>7</v>
      </c>
      <c r="D29" s="2" t="s">
        <v>8</v>
      </c>
      <c r="E29" s="2" t="s">
        <v>9</v>
      </c>
      <c r="F29" s="2" t="s">
        <v>10</v>
      </c>
      <c r="G29" s="1"/>
      <c r="H29" s="4" t="s">
        <v>25</v>
      </c>
      <c r="I29" s="4">
        <v>4</v>
      </c>
      <c r="J29" s="4" t="s">
        <v>44</v>
      </c>
      <c r="K29" s="4" t="s">
        <v>44</v>
      </c>
      <c r="L29" s="4" t="s">
        <v>44</v>
      </c>
      <c r="M29" s="4" t="s">
        <v>44</v>
      </c>
      <c r="N29" s="4" t="s">
        <v>45</v>
      </c>
      <c r="O29" s="9">
        <f t="shared" si="0"/>
        <v>10500</v>
      </c>
      <c r="P29" s="10">
        <f t="shared" si="1"/>
        <v>3.2812499999999999E-3</v>
      </c>
      <c r="Q29" s="11">
        <f t="shared" si="2"/>
        <v>10</v>
      </c>
      <c r="R29" s="12">
        <f t="shared" si="3"/>
        <v>3.2812500000000001E-2</v>
      </c>
    </row>
    <row r="30" spans="1:18">
      <c r="A30" s="4" t="s">
        <v>17</v>
      </c>
      <c r="B30" s="5">
        <f t="shared" ref="B30:F36" si="4">COUNTIF(B$6:B$25,$A30)</f>
        <v>0</v>
      </c>
      <c r="C30" s="5">
        <f t="shared" si="4"/>
        <v>1</v>
      </c>
      <c r="D30" s="5">
        <f t="shared" si="4"/>
        <v>1</v>
      </c>
      <c r="E30" s="5">
        <f t="shared" si="4"/>
        <v>1</v>
      </c>
      <c r="F30" s="5">
        <f t="shared" si="4"/>
        <v>1</v>
      </c>
      <c r="G30" s="1"/>
      <c r="H30" s="4" t="s">
        <v>25</v>
      </c>
      <c r="I30" s="4">
        <v>3</v>
      </c>
      <c r="J30" s="4" t="s">
        <v>44</v>
      </c>
      <c r="K30" s="4" t="s">
        <v>44</v>
      </c>
      <c r="L30" s="4" t="s">
        <v>44</v>
      </c>
      <c r="M30" s="4" t="s">
        <v>45</v>
      </c>
      <c r="N30" s="4" t="s">
        <v>33</v>
      </c>
      <c r="O30" s="9">
        <f t="shared" si="0"/>
        <v>45000</v>
      </c>
      <c r="P30" s="10">
        <f t="shared" si="1"/>
        <v>1.40625E-2</v>
      </c>
      <c r="Q30" s="11">
        <f t="shared" si="2"/>
        <v>5</v>
      </c>
      <c r="R30" s="12">
        <f t="shared" si="3"/>
        <v>7.03125E-2</v>
      </c>
    </row>
    <row r="31" spans="1:18">
      <c r="A31" s="4" t="s">
        <v>16</v>
      </c>
      <c r="B31" s="5">
        <f t="shared" si="4"/>
        <v>2</v>
      </c>
      <c r="C31" s="5">
        <f t="shared" si="4"/>
        <v>3</v>
      </c>
      <c r="D31" s="5">
        <f t="shared" si="4"/>
        <v>3</v>
      </c>
      <c r="E31" s="5">
        <f t="shared" si="4"/>
        <v>3</v>
      </c>
      <c r="F31" s="5">
        <f t="shared" si="4"/>
        <v>3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4" t="s">
        <v>19</v>
      </c>
      <c r="B32" s="5">
        <f t="shared" si="4"/>
        <v>3</v>
      </c>
      <c r="C32" s="5">
        <f t="shared" si="4"/>
        <v>3</v>
      </c>
      <c r="D32" s="5">
        <f t="shared" si="4"/>
        <v>3</v>
      </c>
      <c r="E32" s="5">
        <f t="shared" si="4"/>
        <v>3</v>
      </c>
      <c r="F32" s="5">
        <f t="shared" si="4"/>
        <v>3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>
      <c r="A33" s="4" t="s">
        <v>21</v>
      </c>
      <c r="B33" s="5">
        <f t="shared" si="4"/>
        <v>4</v>
      </c>
      <c r="C33" s="5">
        <f t="shared" si="4"/>
        <v>5</v>
      </c>
      <c r="D33" s="5">
        <f t="shared" si="4"/>
        <v>4</v>
      </c>
      <c r="E33" s="5">
        <f t="shared" si="4"/>
        <v>4</v>
      </c>
      <c r="F33" s="5">
        <f t="shared" si="4"/>
        <v>4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>
      <c r="A34" s="4" t="s">
        <v>24</v>
      </c>
      <c r="B34" s="5">
        <f t="shared" si="4"/>
        <v>5</v>
      </c>
      <c r="C34" s="5">
        <f t="shared" si="4"/>
        <v>3</v>
      </c>
      <c r="D34" s="5">
        <f t="shared" si="4"/>
        <v>4</v>
      </c>
      <c r="E34" s="5">
        <f t="shared" si="4"/>
        <v>4</v>
      </c>
      <c r="F34" s="5">
        <f t="shared" si="4"/>
        <v>4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>
      <c r="A35" s="4" t="s">
        <v>25</v>
      </c>
      <c r="B35" s="5">
        <f t="shared" si="4"/>
        <v>6</v>
      </c>
      <c r="C35" s="5">
        <f t="shared" si="4"/>
        <v>4</v>
      </c>
      <c r="D35" s="5">
        <f t="shared" si="4"/>
        <v>4</v>
      </c>
      <c r="E35" s="5">
        <f t="shared" si="4"/>
        <v>4</v>
      </c>
      <c r="F35" s="5">
        <f t="shared" si="4"/>
        <v>5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>
      <c r="A36" s="4" t="s">
        <v>26</v>
      </c>
      <c r="B36" s="5">
        <f t="shared" si="4"/>
        <v>0</v>
      </c>
      <c r="C36" s="5">
        <f t="shared" si="4"/>
        <v>1</v>
      </c>
      <c r="D36" s="5">
        <f t="shared" si="4"/>
        <v>1</v>
      </c>
      <c r="E36" s="5">
        <f t="shared" si="4"/>
        <v>1</v>
      </c>
      <c r="F36" s="5">
        <f t="shared" si="4"/>
        <v>0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>
      <c r="A37" s="4" t="s">
        <v>34</v>
      </c>
      <c r="B37" s="5">
        <f>COUNTIF(B$6:B$25,"S")*3</f>
        <v>0</v>
      </c>
      <c r="C37" s="5">
        <f>COUNTIF(C$6:C$25,"S")*3</f>
        <v>3</v>
      </c>
      <c r="D37" s="5">
        <f>COUNTIF(D$6:D$25,"S")*3</f>
        <v>3</v>
      </c>
      <c r="E37" s="5">
        <f>COUNTIF(E$6:E$25,"S")*3</f>
        <v>3</v>
      </c>
      <c r="F37" s="5">
        <f>COUNTIF(F$6:F$25,"S")*3</f>
        <v>0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>
      <c r="A38" s="4" t="s">
        <v>33</v>
      </c>
      <c r="B38" s="5">
        <f>COUNTA(B$6:B$25)</f>
        <v>20</v>
      </c>
      <c r="C38" s="5">
        <f>COUNTA(C$6:C$25)</f>
        <v>20</v>
      </c>
      <c r="D38" s="5">
        <f>COUNTA(D$6:D$25)</f>
        <v>20</v>
      </c>
      <c r="E38" s="5">
        <f>COUNTA(E$6:E$25)</f>
        <v>20</v>
      </c>
      <c r="F38" s="5">
        <f>COUNTA(F$6:F$25)</f>
        <v>20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>
      <c r="A41" s="15" t="s">
        <v>46</v>
      </c>
      <c r="B41" s="15" t="s">
        <v>46</v>
      </c>
      <c r="C41" s="15" t="s">
        <v>46</v>
      </c>
      <c r="D41" s="15" t="s">
        <v>46</v>
      </c>
      <c r="E41" s="15" t="s">
        <v>46</v>
      </c>
      <c r="F41" s="15" t="s">
        <v>46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>
      <c r="A42" s="2" t="s">
        <v>11</v>
      </c>
      <c r="B42" s="2" t="s">
        <v>6</v>
      </c>
      <c r="C42" s="2" t="s">
        <v>7</v>
      </c>
      <c r="D42" s="2" t="s">
        <v>8</v>
      </c>
      <c r="E42" s="2" t="s">
        <v>9</v>
      </c>
      <c r="F42" s="2" t="s">
        <v>10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>
      <c r="A43" s="4" t="s">
        <v>35</v>
      </c>
      <c r="B43" s="5">
        <f>B$30+B$31</f>
        <v>2</v>
      </c>
      <c r="C43" s="5">
        <f>C$30+C$31</f>
        <v>4</v>
      </c>
      <c r="D43" s="5">
        <f>D$30+D$31</f>
        <v>4</v>
      </c>
      <c r="E43" s="5">
        <f>E$30+E$31</f>
        <v>4</v>
      </c>
      <c r="F43" s="5">
        <f>F$30+F$31</f>
        <v>4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>
      <c r="A44" s="4" t="s">
        <v>37</v>
      </c>
      <c r="B44" s="5">
        <f>B$30+B$32</f>
        <v>3</v>
      </c>
      <c r="C44" s="5">
        <f>C$30+C$32</f>
        <v>4</v>
      </c>
      <c r="D44" s="5">
        <f>D$30+D$32</f>
        <v>4</v>
      </c>
      <c r="E44" s="5">
        <f>E$30+E$32</f>
        <v>4</v>
      </c>
      <c r="F44" s="5">
        <f>F$30+F$32</f>
        <v>4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>
      <c r="A45" s="4" t="s">
        <v>39</v>
      </c>
      <c r="B45" s="5">
        <f>B$30+B$33</f>
        <v>4</v>
      </c>
      <c r="C45" s="5">
        <f>C$30+C$33</f>
        <v>6</v>
      </c>
      <c r="D45" s="5">
        <f>D$30+D$33</f>
        <v>5</v>
      </c>
      <c r="E45" s="5">
        <f>E$30+E$33</f>
        <v>5</v>
      </c>
      <c r="F45" s="5">
        <f>F$30+F$33</f>
        <v>5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>
      <c r="A46" s="4" t="s">
        <v>41</v>
      </c>
      <c r="B46" s="5">
        <f>B$30+B$34</f>
        <v>5</v>
      </c>
      <c r="C46" s="5">
        <f>C$30+C$34</f>
        <v>4</v>
      </c>
      <c r="D46" s="5">
        <f>D$30+D$34</f>
        <v>5</v>
      </c>
      <c r="E46" s="5">
        <f>E$30+E$34</f>
        <v>5</v>
      </c>
      <c r="F46" s="5">
        <f>F$30+F$34</f>
        <v>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>
      <c r="A47" s="4" t="s">
        <v>44</v>
      </c>
      <c r="B47" s="5">
        <f>B$30+B$35</f>
        <v>6</v>
      </c>
      <c r="C47" s="5">
        <f>C$30+C$35</f>
        <v>5</v>
      </c>
      <c r="D47" s="5">
        <f>D$30+D$35</f>
        <v>5</v>
      </c>
      <c r="E47" s="5">
        <f>E$30+E$35</f>
        <v>5</v>
      </c>
      <c r="F47" s="5">
        <f>F$30+F$35</f>
        <v>6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spans="1:18">
      <c r="A50" s="15" t="s">
        <v>47</v>
      </c>
      <c r="B50" s="15" t="s">
        <v>47</v>
      </c>
      <c r="C50" s="15" t="s">
        <v>47</v>
      </c>
      <c r="D50" s="15" t="s">
        <v>47</v>
      </c>
      <c r="E50" s="15" t="s">
        <v>47</v>
      </c>
      <c r="F50" s="15" t="s">
        <v>47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>
      <c r="A51" s="2" t="s">
        <v>11</v>
      </c>
      <c r="B51" s="2" t="s">
        <v>6</v>
      </c>
      <c r="C51" s="2" t="s">
        <v>7</v>
      </c>
      <c r="D51" s="2" t="s">
        <v>8</v>
      </c>
      <c r="E51" s="2" t="s">
        <v>9</v>
      </c>
      <c r="F51" s="2" t="s">
        <v>10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>
      <c r="A52" s="4" t="s">
        <v>36</v>
      </c>
      <c r="B52" s="5">
        <f>B$38-B$43</f>
        <v>18</v>
      </c>
      <c r="C52" s="5">
        <f>C$38-C$43</f>
        <v>16</v>
      </c>
      <c r="D52" s="5">
        <f>D$38-D$43</f>
        <v>16</v>
      </c>
      <c r="E52" s="5">
        <f>E$38-E$43</f>
        <v>16</v>
      </c>
      <c r="F52" s="5">
        <f>F$38-F$43</f>
        <v>16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>
      <c r="A53" s="4" t="s">
        <v>38</v>
      </c>
      <c r="B53" s="5">
        <f>B$38-B$44</f>
        <v>17</v>
      </c>
      <c r="C53" s="5">
        <f>C$38-C$44</f>
        <v>16</v>
      </c>
      <c r="D53" s="5">
        <f>D$38-D$44</f>
        <v>16</v>
      </c>
      <c r="E53" s="5">
        <f>E$38-E$44</f>
        <v>16</v>
      </c>
      <c r="F53" s="5">
        <f>F$38-F$44</f>
        <v>16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>
      <c r="A54" s="4" t="s">
        <v>40</v>
      </c>
      <c r="B54" s="5">
        <f>B$38-B$45</f>
        <v>16</v>
      </c>
      <c r="C54" s="5">
        <f>C$38-C$45</f>
        <v>14</v>
      </c>
      <c r="D54" s="5">
        <f>D$38-D$45</f>
        <v>15</v>
      </c>
      <c r="E54" s="5">
        <f>E$38-E$45</f>
        <v>15</v>
      </c>
      <c r="F54" s="5">
        <f>F$38-F$45</f>
        <v>15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>
      <c r="A55" s="4" t="s">
        <v>42</v>
      </c>
      <c r="B55" s="5">
        <f>B$38-B$46</f>
        <v>15</v>
      </c>
      <c r="C55" s="5">
        <f>C$38-C$46</f>
        <v>16</v>
      </c>
      <c r="D55" s="5">
        <f>D$38-D$46</f>
        <v>15</v>
      </c>
      <c r="E55" s="5">
        <f>E$38-E$46</f>
        <v>15</v>
      </c>
      <c r="F55" s="5">
        <f>F$38-F$46</f>
        <v>15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>
      <c r="A56" s="4" t="s">
        <v>45</v>
      </c>
      <c r="B56" s="5">
        <f>B$38-B$47</f>
        <v>14</v>
      </c>
      <c r="C56" s="5">
        <f>C$38-C$47</f>
        <v>15</v>
      </c>
      <c r="D56" s="5">
        <f>D$38-D$47</f>
        <v>15</v>
      </c>
      <c r="E56" s="5">
        <f>E$38-E$47</f>
        <v>15</v>
      </c>
      <c r="F56" s="5">
        <f>F$38-F$47</f>
        <v>14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</sheetData>
  <mergeCells count="9">
    <mergeCell ref="A28:F28"/>
    <mergeCell ref="A41:F41"/>
    <mergeCell ref="A50:F50"/>
    <mergeCell ref="H13:N13"/>
    <mergeCell ref="A1:J1"/>
    <mergeCell ref="A2:J2"/>
    <mergeCell ref="A4:F4"/>
    <mergeCell ref="H4:K4"/>
    <mergeCell ref="M4:N4"/>
  </mergeCells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主遊戲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黃天宇</cp:lastModifiedBy>
  <dcterms:modified xsi:type="dcterms:W3CDTF">2026-07-09T18:12:44Z</dcterms:modified>
</cp:coreProperties>
</file>