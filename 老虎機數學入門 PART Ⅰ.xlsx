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2620fd9ad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SlotMath" sheetId="1" r:id="R5482396b1b47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00"/>
  </x:numFmts>
  <x:fonts count="20">
    <x:font>
      <x:sz val="11"/>
      <x:name val="Carlito"/>
    </x:font>
    <x:font>
      <x:b/>
      <x:sz val="15"/>
      <x:color rgb="FFFFFFFF"/>
      <x:name val="Carlito"/>
    </x:font>
    <x:font>
      <x:sz val="11"/>
      <x:color rgb="FF215043"/>
      <x:name val="Carlito"/>
    </x:font>
    <x:font>
      <x:b/>
      <x:sz val="11"/>
      <x:color rgb="FFFFFFFF"/>
      <x:name val="Carlito"/>
    </x:font>
    <x:font>
      <x:b/>
      <x:sz val="11"/>
      <x:color rgb="FF12362F"/>
      <x:name val="Carlito"/>
    </x:font>
    <x:font>
      <x:b/>
      <x:sz val="11"/>
      <x:name val="Carlito"/>
    </x:font>
    <x:font>
      <x:b/>
      <x:sz val="11"/>
      <x:color rgb="FF3E2C00"/>
      <x:name val="Carlito"/>
    </x:font>
    <x:font>
      <x:b/>
      <x:sz val="15"/>
      <x:color rgb="FFFFFFFF"/>
      <x:name val="Aptos"/>
    </x:font>
    <x:font>
      <x:sz val="11"/>
      <x:name val="Aptos"/>
    </x:font>
    <x:font>
      <x:sz val="11"/>
      <x:color rgb="FF215043"/>
      <x:name val="Aptos"/>
    </x:font>
    <x:font>
      <x:b/>
      <x:sz val="11"/>
      <x:color rgb="FFFFFFFF"/>
      <x:name val="Aptos"/>
    </x:font>
    <x:font>
      <x:b/>
      <x:sz val="11"/>
      <x:color rgb="FF12362F"/>
      <x:name val="Aptos"/>
    </x:font>
    <x:font>
      <x:b/>
      <x:sz val="11"/>
      <x:name val="Aptos"/>
    </x:font>
    <x:font>
      <x:b/>
      <x:sz val="11"/>
      <x:color rgb="FF3E2C00"/>
      <x:name val="Aptos"/>
    </x:font>
    <x:font>
      <x:b/>
      <x:sz val="10"/>
      <x:color rgb="FFFFFFFF"/>
      <x:name val="Aptos"/>
    </x:font>
    <x:font>
      <x:sz val="10"/>
      <x:name val="Aptos"/>
    </x:font>
    <x:font>
      <x:sz val="10"/>
      <x:color rgb="FF215043"/>
      <x:name val="Aptos"/>
    </x:font>
    <x:font>
      <x:b/>
      <x:sz val="10"/>
      <x:color rgb="FF12362F"/>
      <x:name val="Aptos"/>
    </x:font>
    <x:font>
      <x:b/>
      <x:sz val="10"/>
      <x:name val="Aptos"/>
    </x:font>
    <x:font>
      <x:b/>
      <x:sz val="10"/>
      <x:color rgb="FF3E2C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3D36"/>
      </x:patternFill>
    </x:fill>
    <x:fill>
      <x:patternFill patternType="solid">
        <x:fgColor rgb="FFE8F3EC"/>
      </x:patternFill>
    </x:fill>
    <x:fill>
      <x:patternFill patternType="solid">
        <x:fgColor rgb="FF2F6F5E"/>
      </x:patternFill>
    </x:fill>
    <x:fill>
      <x:patternFill patternType="solid">
        <x:fgColor rgb="FFCFE7D5"/>
      </x:patternFill>
    </x:fill>
    <x:fill>
      <x:patternFill patternType="solid">
        <x:fgColor rgb="FFF7D774"/>
      </x:patternFill>
    </x:fill>
  </x:fills>
  <x:borders count="2">
    <x:border/>
    <x:border>
      <x:left style="thin">
        <x:color rgb="FFAFC8BA"/>
      </x:left>
      <x:right style="thin">
        <x:color rgb="FFAFC8BA"/>
      </x:right>
      <x:top style="thin">
        <x:color rgb="FFAFC8BA"/>
      </x:top>
      <x:bottom style="thin">
        <x:color rgb="FFAFC8BA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2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200" fontId="11" fillId="5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201" fontId="13" fillId="6" borderId="1" xfId="0" applyNumberFormat="1" applyFont="1" applyFill="1" applyBorder="1" applyAlignment="1">
      <x:alignment horizontal="right" vertical="center"/>
    </x:xf>
    <x:xf numFmtId="0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horizontal="right" vertical="center"/>
    </x:xf>
    <x:xf numFmtId="202" fontId="8" fillId="0" borderId="1" xfId="0" applyNumberFormat="1" applyFont="1" applyFill="1" applyBorder="1" applyAlignment="1">
      <x:alignment horizontal="right" vertical="center"/>
    </x:xf>
    <x:xf numFmtId="0" fontId="8" fillId="0" borderId="1" xfId="0" applyNumberFormat="1" applyFont="1" applyFill="1" applyBorder="1" applyAlignment="1">
      <x:alignment horizontal="right" vertical="center"/>
    </x:xf>
    <x:xf numFmtId="201" fontId="8" fillId="0" borderId="1" xfId="0" applyNumberFormat="1" applyFont="1" applyFill="1" applyBorder="1" applyAlignment="1">
      <x:alignment horizontal="right"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7" fillId="5" borderId="1" xfId="0" applyNumberFormat="1" applyFont="1" applyFill="1" applyBorder="1" applyAlignment="1">
      <x:alignment horizontal="center" vertical="center"/>
    </x:xf>
    <x:xf numFmtId="200" fontId="17" fillId="5" borderId="1" xfId="0" applyNumberFormat="1" applyFont="1" applyFill="1" applyBorder="1" applyAlignment="1">
      <x:alignment horizontal="center" vertical="center"/>
    </x:xf>
    <x:xf numFmtId="0" fontId="15" fillId="0" borderId="1" xfId="0" applyNumberFormat="1" applyFont="1" applyFill="1" applyBorder="1" applyAlignment="1">
      <x:alignment horizontal="center" vertical="center"/>
    </x:xf>
    <x:xf numFmtId="200" fontId="15" fillId="0" borderId="1" xfId="0" applyNumberFormat="1" applyFont="1" applyFill="1" applyBorder="1" applyAlignment="1">
      <x:alignment vertical="center"/>
    </x:xf>
    <x:xf numFmtId="0" fontId="18" fillId="0" borderId="1" xfId="0" applyNumberFormat="1" applyFont="1" applyFill="1" applyBorder="1" applyAlignment="1">
      <x:alignment vertical="center"/>
    </x:xf>
    <x:xf numFmtId="201" fontId="19" fillId="6" borderId="1" xfId="0" applyNumberFormat="1" applyFont="1" applyFill="1" applyBorder="1" applyAlignment="1">
      <x:alignment horizontal="right" vertical="center"/>
    </x:xf>
    <x:xf numFmtId="0" fontId="15" fillId="0" borderId="1" xfId="0" applyNumberFormat="1" applyFont="1" applyFill="1" applyBorder="1" applyAlignment="1">
      <x:alignment vertical="center"/>
    </x:xf>
    <x:xf numFmtId="200" fontId="15" fillId="0" borderId="1" xfId="0" applyNumberFormat="1" applyFont="1" applyFill="1" applyBorder="1" applyAlignment="1">
      <x:alignment horizontal="right" vertical="center"/>
    </x:xf>
    <x:xf numFmtId="202" fontId="15" fillId="0" borderId="1" xfId="0" applyNumberFormat="1" applyFont="1" applyFill="1" applyBorder="1" applyAlignment="1">
      <x:alignment horizontal="right" vertical="center"/>
    </x:xf>
    <x:xf numFmtId="0" fontId="15" fillId="0" borderId="1" xfId="0" applyNumberFormat="1" applyFont="1" applyFill="1" applyBorder="1" applyAlignment="1">
      <x:alignment horizontal="right" vertical="center"/>
    </x:xf>
    <x:xf numFmtId="201" fontId="15" fillId="0" borderId="1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center" vertical="center" wrapText="0"/>
    </x:xf>
    <x:xf numFmtId="0" fontId="15" fillId="0" borderId="0" xfId="0" applyNumberFormat="1" applyFont="1" applyFill="1" applyBorder="1" applyAlignment="1">
      <x:alignment wrapText="0"/>
    </x:xf>
    <x:xf numFmtId="0" fontId="16" fillId="3" borderId="0" xfId="0" applyNumberFormat="1" applyFont="1" applyFill="1" applyBorder="1" applyAlignment="1">
      <x:alignment wrapText="0"/>
    </x:xf>
    <x:xf numFmtId="0" fontId="14" fillId="4" borderId="0" xfId="0" applyNumberFormat="1" applyFont="1" applyFill="1" applyBorder="1" applyAlignment="1">
      <x:alignment horizontal="center" wrapText="0"/>
    </x:xf>
    <x:xf numFmtId="0" fontId="17" fillId="5" borderId="1" xfId="0" applyNumberFormat="1" applyFont="1" applyFill="1" applyBorder="1" applyAlignment="1">
      <x:alignment horizontal="center" vertical="center" wrapText="0"/>
    </x:xf>
    <x:xf numFmtId="200" fontId="17" fillId="5" borderId="1" xfId="0" applyNumberFormat="1" applyFont="1" applyFill="1" applyBorder="1" applyAlignment="1">
      <x:alignment horizontal="center" vertical="center" wrapText="0"/>
    </x:xf>
    <x:xf numFmtId="0" fontId="15" fillId="0" borderId="1" xfId="0" applyNumberFormat="1" applyFont="1" applyFill="1" applyBorder="1" applyAlignment="1">
      <x:alignment horizontal="center" vertical="center" wrapText="0"/>
    </x:xf>
    <x:xf numFmtId="200" fontId="15" fillId="0" borderId="1" xfId="0" applyNumberFormat="1" applyFont="1" applyFill="1" applyBorder="1" applyAlignment="1">
      <x:alignment vertical="center" wrapText="0"/>
    </x:xf>
    <x:xf numFmtId="0" fontId="18" fillId="0" borderId="1" xfId="0" applyNumberFormat="1" applyFont="1" applyFill="1" applyBorder="1" applyAlignment="1">
      <x:alignment vertical="center" wrapText="0"/>
    </x:xf>
    <x:xf numFmtId="201" fontId="19" fillId="6" borderId="1" xfId="0" applyNumberFormat="1" applyFont="1" applyFill="1" applyBorder="1" applyAlignment="1">
      <x:alignment horizontal="right" vertical="center" wrapText="0"/>
    </x:xf>
    <x:xf numFmtId="0" fontId="15" fillId="0" borderId="1" xfId="0" applyNumberFormat="1" applyFont="1" applyFill="1" applyBorder="1" applyAlignment="1">
      <x:alignment vertical="center" wrapText="0"/>
    </x:xf>
    <x:xf numFmtId="200" fontId="15" fillId="0" borderId="1" xfId="0" applyNumberFormat="1" applyFont="1" applyFill="1" applyBorder="1" applyAlignment="1">
      <x:alignment horizontal="right" vertical="center" wrapText="0"/>
    </x:xf>
    <x:xf numFmtId="202" fontId="15" fillId="0" borderId="1" xfId="0" applyNumberFormat="1" applyFont="1" applyFill="1" applyBorder="1" applyAlignment="1">
      <x:alignment horizontal="right" vertical="center" wrapText="0"/>
    </x:xf>
    <x:xf numFmtId="0" fontId="15" fillId="0" borderId="1" xfId="0" applyNumberFormat="1" applyFont="1" applyFill="1" applyBorder="1" applyAlignment="1">
      <x:alignment horizontal="right" vertical="center" wrapText="0"/>
    </x:xf>
    <x:xf numFmtId="201" fontId="15" fillId="0" borderId="1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4b9e2bafc4014" /><Relationship Type="http://schemas.openxmlformats.org/officeDocument/2006/relationships/theme" Target="/xl/theme/theme1.xml" Id="R06e697c6242643c3" /><Relationship Type="http://schemas.openxmlformats.org/officeDocument/2006/relationships/sharedStrings" Target="/xl/sharedStrings.xml" Id="Rad4b35e605fa4cc7" /><Relationship Type="http://schemas.openxmlformats.org/officeDocument/2006/relationships/worksheet" Target="/xl/worksheets/sheet1.xml" Id="R5482396b1b47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11" hidden="0" customWidth="1"/>
    <x:col min="15" max="15" width="13" hidden="0" customWidth="1"/>
    <x:col min="16" max="16" width="11" hidden="0" customWidth="1"/>
    <x:col min="17" max="17" width="11" hidden="0" customWidth="1"/>
    <x:col min="18" max="18" width="10" hidden="0" customWidth="1"/>
    <x:col min="7" max="7" width="3" hidden="0" customWidth="1"/>
  </x:cols>
  <x:sheetData>
    <x:row r="1" ht="28" customHeight="1">
      <x:c r="A1" s="70" t="str">
        <x:v>老虎機數學入門 PART I - Excel 實作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1"/>
      <x:c r="L1" s="71"/>
      <x:c r="M1" s="71"/>
      <x:c r="N1" s="71"/>
      <x:c r="O1" s="71"/>
      <x:c r="P1" s="71"/>
      <x:c r="Q1" s="71"/>
      <x:c r="R1" s="71"/>
    </x:row>
    <x:row r="2">
      <x:c r="A2" s="72" t="str">
        <x:v>Source: https://ezslotdesign.com/firstslotmath/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1"/>
      <x:c r="L2" s="71"/>
      <x:c r="M2" s="71"/>
      <x:c r="N2" s="71"/>
      <x:c r="O2" s="71"/>
      <x:c r="P2" s="71"/>
      <x:c r="Q2" s="71"/>
      <x:c r="R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</x:row>
    <x:row r="4">
      <x:c r="A4" s="73" t="str">
        <x:v>轉輪表</x:v>
      </x:c>
      <x:c r="B4" s="73" t="str">
        <x:v>轉輪表</x:v>
      </x:c>
      <x:c r="C4" s="73" t="str">
        <x:v>轉輪表</x:v>
      </x:c>
      <x:c r="D4" s="73" t="str">
        <x:v>轉輪表</x:v>
      </x:c>
      <x:c r="E4" s="73" t="str">
        <x:v>轉輪表</x:v>
      </x:c>
      <x:c r="F4" s="73" t="str">
        <x:v>轉輪表</x:v>
      </x:c>
      <x:c r="G4" s="71"/>
      <x:c r="H4" s="73" t="str">
        <x:v>賠率表</x:v>
      </x:c>
      <x:c r="I4" s="73" t="str">
        <x:v>賠率表</x:v>
      </x:c>
      <x:c r="J4" s="73" t="str">
        <x:v>賠率表</x:v>
      </x:c>
      <x:c r="K4" s="73" t="str">
        <x:v>賠率表</x:v>
      </x:c>
      <x:c r="L4" s="71"/>
      <x:c r="M4" s="73" t="str">
        <x:v>RTP 摘要</x:v>
      </x:c>
      <x:c r="N4" s="73" t="str">
        <x:v>RTP 摘要</x:v>
      </x:c>
      <x:c r="O4" s="71"/>
      <x:c r="P4" s="71"/>
      <x:c r="Q4" s="71"/>
      <x:c r="R4" s="71"/>
    </x:row>
    <x:row r="5">
      <x:c r="A5" s="74" t="str">
        <x:v>#</x:v>
      </x:c>
      <x:c r="B5" s="74" t="str">
        <x:v>轉輪1</x:v>
      </x:c>
      <x:c r="C5" s="74" t="str">
        <x:v>轉輪2</x:v>
      </x:c>
      <x:c r="D5" s="74" t="str">
        <x:v>轉輪3</x:v>
      </x:c>
      <x:c r="E5" s="74" t="str">
        <x:v>轉輪4</x:v>
      </x:c>
      <x:c r="F5" s="74" t="str">
        <x:v>轉輪5</x:v>
      </x:c>
      <x:c r="G5" s="71"/>
      <x:c r="H5" s="74" t="str">
        <x:v>圖案</x:v>
      </x:c>
      <x:c r="I5" s="74" t="str">
        <x:v>3連線</x:v>
      </x:c>
      <x:c r="J5" s="74" t="str">
        <x:v>4連線</x:v>
      </x:c>
      <x:c r="K5" s="74" t="str">
        <x:v>5連線</x:v>
      </x:c>
      <x:c r="L5" s="71"/>
      <x:c r="M5" s="74" t="str">
        <x:v>所有可能數</x:v>
      </x:c>
      <x:c r="N5" s="75" t="n">
        <x:f>PRODUCT(B38:F38)</x:f>
        <x:v>3200000</x:v>
      </x:c>
      <x:c r="O5" s="71"/>
      <x:c r="P5" s="71"/>
      <x:c r="Q5" s="71"/>
      <x:c r="R5" s="71"/>
    </x:row>
    <x:row r="6">
      <x:c r="A6" s="76" t="n">
        <x:v>1</x:v>
      </x:c>
      <x:c r="B6" s="76" t="str">
        <x:v>K</x:v>
      </x:c>
      <x:c r="C6" s="76" t="str">
        <x:v>W</x:v>
      </x:c>
      <x:c r="D6" s="76" t="str">
        <x:v>W</x:v>
      </x:c>
      <x:c r="E6" s="76" t="str">
        <x:v>W</x:v>
      </x:c>
      <x:c r="F6" s="76" t="str">
        <x:v>W</x:v>
      </x:c>
      <x:c r="G6" s="71"/>
      <x:c r="H6" s="76" t="str">
        <x:v>K</x:v>
      </x:c>
      <x:c r="I6" s="77" t="n">
        <x:v>5</x:v>
      </x:c>
      <x:c r="J6" s="77" t="n">
        <x:v>30</x:v>
      </x:c>
      <x:c r="K6" s="77" t="n">
        <x:v>100</x:v>
      </x:c>
      <x:c r="L6" s="71"/>
      <x:c r="M6" s="78" t="str">
        <x:v>總期望值</x:v>
      </x:c>
      <x:c r="N6" s="79" t="n">
        <x:f>SUM(R15:R30)</x:f>
        <x:v>0.8005437500000001</x:v>
      </x:c>
      <x:c r="O6" s="71"/>
      <x:c r="P6" s="71"/>
      <x:c r="Q6" s="71"/>
      <x:c r="R6" s="71"/>
    </x:row>
    <x:row r="7">
      <x:c r="A7" s="76" t="n">
        <x:v>2</x:v>
      </x:c>
      <x:c r="B7" s="76" t="str">
        <x:v>Q</x:v>
      </x:c>
      <x:c r="C7" s="76" t="str">
        <x:v>K</x:v>
      </x:c>
      <x:c r="D7" s="76" t="str">
        <x:v>K</x:v>
      </x:c>
      <x:c r="E7" s="76" t="str">
        <x:v>K</x:v>
      </x:c>
      <x:c r="F7" s="76" t="str">
        <x:v>K</x:v>
      </x:c>
      <x:c r="G7" s="71"/>
      <x:c r="H7" s="76" t="str">
        <x:v>Q</x:v>
      </x:c>
      <x:c r="I7" s="77" t="n">
        <x:v>5</x:v>
      </x:c>
      <x:c r="J7" s="77" t="n">
        <x:v>25</x:v>
      </x:c>
      <x:c r="K7" s="77" t="n">
        <x:v>100</x:v>
      </x:c>
      <x:c r="L7" s="71"/>
      <x:c r="M7" s="78" t="str">
        <x:v>押線數</x:v>
      </x:c>
      <x:c r="N7" s="80" t="n">
        <x:v>1</x:v>
      </x:c>
      <x:c r="O7" s="71"/>
      <x:c r="P7" s="71"/>
      <x:c r="Q7" s="71"/>
      <x:c r="R7" s="71"/>
    </x:row>
    <x:row r="8">
      <x:c r="A8" s="76" t="n">
        <x:v>3</x:v>
      </x:c>
      <x:c r="B8" s="76" t="str">
        <x:v>J</x:v>
      </x:c>
      <x:c r="C8" s="76" t="str">
        <x:v>Q</x:v>
      </x:c>
      <x:c r="D8" s="76" t="str">
        <x:v>Q</x:v>
      </x:c>
      <x:c r="E8" s="76" t="str">
        <x:v>Q</x:v>
      </x:c>
      <x:c r="F8" s="76" t="str">
        <x:v>Q</x:v>
      </x:c>
      <x:c r="G8" s="71"/>
      <x:c r="H8" s="76" t="str">
        <x:v>J</x:v>
      </x:c>
      <x:c r="I8" s="77" t="n">
        <x:v>5</x:v>
      </x:c>
      <x:c r="J8" s="77" t="n">
        <x:v>20</x:v>
      </x:c>
      <x:c r="K8" s="77" t="n">
        <x:v>75</x:v>
      </x:c>
      <x:c r="L8" s="71"/>
      <x:c r="M8" s="78" t="str">
        <x:v>視窗</x:v>
      </x:c>
      <x:c r="N8" s="80" t="str">
        <x:v>3x5</x:v>
      </x:c>
      <x:c r="O8" s="71"/>
      <x:c r="P8" s="71"/>
      <x:c r="Q8" s="71"/>
      <x:c r="R8" s="71"/>
    </x:row>
    <x:row r="9">
      <x:c r="A9" s="76" t="n">
        <x:v>4</x:v>
      </x:c>
      <x:c r="B9" s="76" t="str">
        <x:v>10</x:v>
      </x:c>
      <x:c r="C9" s="76" t="str">
        <x:v>J</x:v>
      </x:c>
      <x:c r="D9" s="76" t="str">
        <x:v>J</x:v>
      </x:c>
      <x:c r="E9" s="76" t="str">
        <x:v>J</x:v>
      </x:c>
      <x:c r="F9" s="76" t="str">
        <x:v>J</x:v>
      </x:c>
      <x:c r="G9" s="71"/>
      <x:c r="H9" s="76" t="str">
        <x:v>10</x:v>
      </x:c>
      <x:c r="I9" s="77" t="n">
        <x:v>5</x:v>
      </x:c>
      <x:c r="J9" s="77" t="n">
        <x:v>20</x:v>
      </x:c>
      <x:c r="K9" s="77" t="n">
        <x:v>75</x:v>
      </x:c>
      <x:c r="L9" s="71"/>
      <x:c r="M9" s="71"/>
      <x:c r="N9" s="71"/>
      <x:c r="O9" s="71"/>
      <x:c r="P9" s="71"/>
      <x:c r="Q9" s="71"/>
      <x:c r="R9" s="71"/>
    </x:row>
    <x:row r="10">
      <x:c r="A10" s="76" t="n">
        <x:v>5</x:v>
      </x:c>
      <x:c r="B10" s="76" t="str">
        <x:v>9</x:v>
      </x:c>
      <x:c r="C10" s="76" t="str">
        <x:v>10</x:v>
      </x:c>
      <x:c r="D10" s="76" t="str">
        <x:v>10</x:v>
      </x:c>
      <x:c r="E10" s="76" t="str">
        <x:v>10</x:v>
      </x:c>
      <x:c r="F10" s="76" t="str">
        <x:v>10</x:v>
      </x:c>
      <x:c r="G10" s="71"/>
      <x:c r="H10" s="76" t="str">
        <x:v>9</x:v>
      </x:c>
      <x:c r="I10" s="77" t="n">
        <x:v>5</x:v>
      </x:c>
      <x:c r="J10" s="77" t="n">
        <x:v>10</x:v>
      </x:c>
      <x:c r="K10" s="77" t="n">
        <x:v>50</x:v>
      </x:c>
      <x:c r="L10" s="71"/>
      <x:c r="M10" s="71"/>
      <x:c r="N10" s="71"/>
      <x:c r="O10" s="71"/>
      <x:c r="P10" s="71"/>
      <x:c r="Q10" s="71"/>
      <x:c r="R10" s="71"/>
    </x:row>
    <x:row r="11">
      <x:c r="A11" s="76" t="n">
        <x:v>6</x:v>
      </x:c>
      <x:c r="B11" s="76" t="str">
        <x:v>9</x:v>
      </x:c>
      <x:c r="C11" s="76" t="str">
        <x:v>9</x:v>
      </x:c>
      <x:c r="D11" s="76" t="str">
        <x:v>9</x:v>
      </x:c>
      <x:c r="E11" s="76" t="str">
        <x:v>9</x:v>
      </x:c>
      <x:c r="F11" s="76" t="str">
        <x:v>9</x:v>
      </x:c>
      <x:c r="G11" s="71"/>
      <x:c r="H11" s="76" t="str">
        <x:v>S</x:v>
      </x:c>
      <x:c r="I11" s="77" t="n">
        <x:v>50</x:v>
      </x:c>
      <x:c r="J11" s="77" t="n">
        <x:v>0</x:v>
      </x:c>
      <x:c r="K11" s="77" t="n">
        <x:v>0</x:v>
      </x:c>
      <x:c r="L11" s="71"/>
      <x:c r="M11" s="71"/>
      <x:c r="N11" s="71"/>
      <x:c r="O11" s="71"/>
      <x:c r="P11" s="71"/>
      <x:c r="Q11" s="71"/>
      <x:c r="R11" s="71"/>
    </x:row>
    <x:row r="12">
      <x:c r="A12" s="76" t="n">
        <x:v>7</x:v>
      </x:c>
      <x:c r="B12" s="76" t="str">
        <x:v>K</x:v>
      </x:c>
      <x:c r="C12" s="76" t="str">
        <x:v>S</x:v>
      </x:c>
      <x:c r="D12" s="76" t="str">
        <x:v>S</x:v>
      </x:c>
      <x:c r="E12" s="76" t="str">
        <x:v>S</x:v>
      </x:c>
      <x:c r="F12" s="76" t="str">
        <x:v>9</x:v>
      </x:c>
      <x:c r="G12" s="71"/>
      <x:c r="H12" s="71"/>
      <x:c r="I12" s="71"/>
      <x:c r="J12" s="71"/>
      <x:c r="K12" s="71"/>
      <x:c r="L12" s="71"/>
      <x:c r="M12" s="71"/>
      <x:c r="N12" s="71"/>
      <x:c r="O12" s="71"/>
      <x:c r="P12" s="71"/>
      <x:c r="Q12" s="71"/>
      <x:c r="R12" s="71"/>
    </x:row>
    <x:row r="13">
      <x:c r="A13" s="76" t="n">
        <x:v>8</x:v>
      </x:c>
      <x:c r="B13" s="76" t="str">
        <x:v>Q</x:v>
      </x:c>
      <x:c r="C13" s="76" t="str">
        <x:v>K</x:v>
      </x:c>
      <x:c r="D13" s="76" t="str">
        <x:v>K</x:v>
      </x:c>
      <x:c r="E13" s="76" t="str">
        <x:v>K</x:v>
      </x:c>
      <x:c r="F13" s="76" t="str">
        <x:v>K</x:v>
      </x:c>
      <x:c r="G13" s="71"/>
      <x:c r="H13" s="73" t="str">
        <x:v>得分組合與期望值</x:v>
      </x:c>
      <x:c r="I13" s="73" t="str">
        <x:v>得分組合與期望值</x:v>
      </x:c>
      <x:c r="J13" s="73" t="str">
        <x:v>得分組合與期望值</x:v>
      </x:c>
      <x:c r="K13" s="73" t="str">
        <x:v>得分組合與期望值</x:v>
      </x:c>
      <x:c r="L13" s="73" t="str">
        <x:v>得分組合與期望值</x:v>
      </x:c>
      <x:c r="M13" s="73" t="str">
        <x:v>得分組合與期望值</x:v>
      </x:c>
      <x:c r="N13" s="73" t="str">
        <x:v>得分組合與期望值</x:v>
      </x:c>
      <x:c r="O13" s="71"/>
      <x:c r="P13" s="71"/>
      <x:c r="Q13" s="71"/>
      <x:c r="R13" s="71"/>
    </x:row>
    <x:row r="14">
      <x:c r="A14" s="76" t="n">
        <x:v>9</x:v>
      </x:c>
      <x:c r="B14" s="76" t="str">
        <x:v>J</x:v>
      </x:c>
      <x:c r="C14" s="76" t="str">
        <x:v>Q</x:v>
      </x:c>
      <x:c r="D14" s="76" t="str">
        <x:v>Q</x:v>
      </x:c>
      <x:c r="E14" s="76" t="str">
        <x:v>Q</x:v>
      </x:c>
      <x:c r="F14" s="76" t="str">
        <x:v>Q</x:v>
      </x:c>
      <x:c r="G14" s="71"/>
      <x:c r="H14" s="74" t="str">
        <x:v>圖案</x:v>
      </x:c>
      <x:c r="I14" s="74" t="str">
        <x:v>連線數</x:v>
      </x:c>
      <x:c r="J14" s="74" t="str">
        <x:v>轉輪1</x:v>
      </x:c>
      <x:c r="K14" s="74" t="str">
        <x:v>轉輪2</x:v>
      </x:c>
      <x:c r="L14" s="74" t="str">
        <x:v>轉輪3</x:v>
      </x:c>
      <x:c r="M14" s="74" t="str">
        <x:v>轉輪4</x:v>
      </x:c>
      <x:c r="N14" s="74" t="str">
        <x:v>轉輪5</x:v>
      </x:c>
      <x:c r="O14" s="74" t="str">
        <x:v>出現次數</x:v>
      </x:c>
      <x:c r="P14" s="74" t="str">
        <x:v>出現機率</x:v>
      </x:c>
      <x:c r="Q14" s="74" t="str">
        <x:v>得分數</x:v>
      </x:c>
      <x:c r="R14" s="74" t="str">
        <x:v>期望值</x:v>
      </x:c>
    </x:row>
    <x:row r="15">
      <x:c r="A15" s="76" t="n">
        <x:v>10</x:v>
      </x:c>
      <x:c r="B15" s="76" t="str">
        <x:v>10</x:v>
      </x:c>
      <x:c r="C15" s="76" t="str">
        <x:v>J</x:v>
      </x:c>
      <x:c r="D15" s="76" t="str">
        <x:v>J</x:v>
      </x:c>
      <x:c r="E15" s="76" t="str">
        <x:v>J</x:v>
      </x:c>
      <x:c r="F15" s="76" t="str">
        <x:v>J</x:v>
      </x:c>
      <x:c r="G15" s="71"/>
      <x:c r="H15" s="76" t="str">
        <x:v>S</x:v>
      </x:c>
      <x:c r="I15" s="76" t="n">
        <x:v>3</x:v>
      </x:c>
      <x:c r="J15" s="76" t="str">
        <x:v>-</x:v>
      </x:c>
      <x:c r="K15" s="76" t="str">
        <x:v>3*S</x:v>
      </x:c>
      <x:c r="L15" s="76" t="str">
        <x:v>3*S</x:v>
      </x:c>
      <x:c r="M15" s="76" t="str">
        <x:v>3*S</x:v>
      </x:c>
      <x:c r="N15" s="76" t="str">
        <x:v>-</x:v>
      </x:c>
      <x:c r="O15" s="81" t="n">
        <x:f>PRODUCT(VLOOKUP(J15,$A$29:$F$56,2,FALSE),VLOOKUP(K15,$A$29:$F$56,3,FALSE),VLOOKUP(L15,$A$29:$F$56,4,FALSE),VLOOKUP(M15,$A$29:$F$56,5,FALSE),VLOOKUP(N15,$A$29:$F$56,6,FALSE))</x:f>
        <x:v>10800</x:v>
      </x:c>
      <x:c r="P15" s="82" t="n">
        <x:f>O15/$N$5</x:f>
        <x:v>0.003375</x:v>
      </x:c>
      <x:c r="Q15" s="83" t="n">
        <x:f>INDEX($I$6:$K$11,MATCH(H15,$H$6:$H$11,0),MATCH(I15&amp;"連線",$I$5:$K$5,0))</x:f>
        <x:v>50</x:v>
      </x:c>
      <x:c r="R15" s="84" t="n">
        <x:f>P15*Q15</x:f>
        <x:v>0.16875</x:v>
      </x:c>
    </x:row>
    <x:row r="16">
      <x:c r="A16" s="76" t="n">
        <x:v>11</x:v>
      </x:c>
      <x:c r="B16" s="76" t="str">
        <x:v>9</x:v>
      </x:c>
      <x:c r="C16" s="76" t="str">
        <x:v>10</x:v>
      </x:c>
      <x:c r="D16" s="76" t="str">
        <x:v>10</x:v>
      </x:c>
      <x:c r="E16" s="76" t="str">
        <x:v>10</x:v>
      </x:c>
      <x:c r="F16" s="76" t="str">
        <x:v>10</x:v>
      </x:c>
      <x:c r="G16" s="71"/>
      <x:c r="H16" s="76" t="str">
        <x:v>K</x:v>
      </x:c>
      <x:c r="I16" s="76" t="n">
        <x:v>5</x:v>
      </x:c>
      <x:c r="J16" s="76" t="str">
        <x:v>WK</x:v>
      </x:c>
      <x:c r="K16" s="76" t="str">
        <x:v>WK</x:v>
      </x:c>
      <x:c r="L16" s="76" t="str">
        <x:v>WK</x:v>
      </x:c>
      <x:c r="M16" s="76" t="str">
        <x:v>WK</x:v>
      </x:c>
      <x:c r="N16" s="76" t="str">
        <x:v>WK</x:v>
      </x:c>
      <x:c r="O16" s="81" t="n">
        <x:f>PRODUCT(VLOOKUP(J16,$A$29:$F$56,2,FALSE),VLOOKUP(K16,$A$29:$F$56,3,FALSE),VLOOKUP(L16,$A$29:$F$56,4,FALSE),VLOOKUP(M16,$A$29:$F$56,5,FALSE),VLOOKUP(N16,$A$29:$F$56,6,FALSE))</x:f>
        <x:v>512</x:v>
      </x:c>
      <x:c r="P16" s="82" t="n">
        <x:f>O16/$N$5</x:f>
        <x:v>0.00016</x:v>
      </x:c>
      <x:c r="Q16" s="83" t="n">
        <x:f>INDEX($I$6:$K$11,MATCH(H16,$H$6:$H$11,0),MATCH(I16&amp;"連線",$I$5:$K$5,0))</x:f>
        <x:v>100</x:v>
      </x:c>
      <x:c r="R16" s="84" t="n">
        <x:f>P16*Q16</x:f>
        <x:v>0.016</x:v>
      </x:c>
    </x:row>
    <x:row r="17">
      <x:c r="A17" s="76" t="n">
        <x:v>12</x:v>
      </x:c>
      <x:c r="B17" s="76" t="str">
        <x:v>10</x:v>
      </x:c>
      <x:c r="C17" s="76" t="str">
        <x:v>9</x:v>
      </x:c>
      <x:c r="D17" s="76" t="str">
        <x:v>9</x:v>
      </x:c>
      <x:c r="E17" s="76" t="str">
        <x:v>9</x:v>
      </x:c>
      <x:c r="F17" s="76" t="str">
        <x:v>9</x:v>
      </x:c>
      <x:c r="G17" s="71"/>
      <x:c r="H17" s="76" t="str">
        <x:v>K</x:v>
      </x:c>
      <x:c r="I17" s="76" t="n">
        <x:v>4</x:v>
      </x:c>
      <x:c r="J17" s="76" t="str">
        <x:v>WK</x:v>
      </x:c>
      <x:c r="K17" s="76" t="str">
        <x:v>WK</x:v>
      </x:c>
      <x:c r="L17" s="76" t="str">
        <x:v>WK</x:v>
      </x:c>
      <x:c r="M17" s="76" t="str">
        <x:v>WK</x:v>
      </x:c>
      <x:c r="N17" s="76" t="str">
        <x:v>X_WK</x:v>
      </x:c>
      <x:c r="O17" s="81" t="n">
        <x:f>PRODUCT(VLOOKUP(J17,$A$29:$F$56,2,FALSE),VLOOKUP(K17,$A$29:$F$56,3,FALSE),VLOOKUP(L17,$A$29:$F$56,4,FALSE),VLOOKUP(M17,$A$29:$F$56,5,FALSE),VLOOKUP(N17,$A$29:$F$56,6,FALSE))</x:f>
        <x:v>2048</x:v>
      </x:c>
      <x:c r="P17" s="82" t="n">
        <x:f>O17/$N$5</x:f>
        <x:v>0.00064</x:v>
      </x:c>
      <x:c r="Q17" s="83" t="n">
        <x:f>INDEX($I$6:$K$11,MATCH(H17,$H$6:$H$11,0),MATCH(I17&amp;"連線",$I$5:$K$5,0))</x:f>
        <x:v>30</x:v>
      </x:c>
      <x:c r="R17" s="84" t="n">
        <x:f>P17*Q17</x:f>
        <x:v>0.019200000000000002</x:v>
      </x:c>
    </x:row>
    <x:row r="18">
      <x:c r="A18" s="76" t="n">
        <x:v>13</x:v>
      </x:c>
      <x:c r="B18" s="76" t="str">
        <x:v>Q</x:v>
      </x:c>
      <x:c r="C18" s="76" t="str">
        <x:v>K</x:v>
      </x:c>
      <x:c r="D18" s="76" t="str">
        <x:v>K</x:v>
      </x:c>
      <x:c r="E18" s="76" t="str">
        <x:v>K</x:v>
      </x:c>
      <x:c r="F18" s="76" t="str">
        <x:v>K</x:v>
      </x:c>
      <x:c r="G18" s="71"/>
      <x:c r="H18" s="76" t="str">
        <x:v>K</x:v>
      </x:c>
      <x:c r="I18" s="76" t="n">
        <x:v>3</x:v>
      </x:c>
      <x:c r="J18" s="76" t="str">
        <x:v>WK</x:v>
      </x:c>
      <x:c r="K18" s="76" t="str">
        <x:v>WK</x:v>
      </x:c>
      <x:c r="L18" s="76" t="str">
        <x:v>WK</x:v>
      </x:c>
      <x:c r="M18" s="76" t="str">
        <x:v>X_WK</x:v>
      </x:c>
      <x:c r="N18" s="76" t="str">
        <x:v>-</x:v>
      </x:c>
      <x:c r="O18" s="81" t="n">
        <x:f>PRODUCT(VLOOKUP(J18,$A$29:$F$56,2,FALSE),VLOOKUP(K18,$A$29:$F$56,3,FALSE),VLOOKUP(L18,$A$29:$F$56,4,FALSE),VLOOKUP(M18,$A$29:$F$56,5,FALSE),VLOOKUP(N18,$A$29:$F$56,6,FALSE))</x:f>
        <x:v>10240</x:v>
      </x:c>
      <x:c r="P18" s="82" t="n">
        <x:f>O18/$N$5</x:f>
        <x:v>0.0032</x:v>
      </x:c>
      <x:c r="Q18" s="83" t="n">
        <x:f>INDEX($I$6:$K$11,MATCH(H18,$H$6:$H$11,0),MATCH(I18&amp;"連線",$I$5:$K$5,0))</x:f>
        <x:v>5</x:v>
      </x:c>
      <x:c r="R18" s="84" t="n">
        <x:f>P18*Q18</x:f>
        <x:v>0.016</x:v>
      </x:c>
    </x:row>
    <x:row r="19">
      <x:c r="A19" s="76" t="n">
        <x:v>14</x:v>
      </x:c>
      <x:c r="B19" s="76" t="str">
        <x:v>J</x:v>
      </x:c>
      <x:c r="C19" s="76" t="str">
        <x:v>Q</x:v>
      </x:c>
      <x:c r="D19" s="76" t="str">
        <x:v>Q</x:v>
      </x:c>
      <x:c r="E19" s="76" t="str">
        <x:v>Q</x:v>
      </x:c>
      <x:c r="F19" s="76" t="str">
        <x:v>Q</x:v>
      </x:c>
      <x:c r="G19" s="71"/>
      <x:c r="H19" s="76" t="str">
        <x:v>Q</x:v>
      </x:c>
      <x:c r="I19" s="76" t="n">
        <x:v>5</x:v>
      </x:c>
      <x:c r="J19" s="76" t="str">
        <x:v>WQ</x:v>
      </x:c>
      <x:c r="K19" s="76" t="str">
        <x:v>WQ</x:v>
      </x:c>
      <x:c r="L19" s="76" t="str">
        <x:v>WQ</x:v>
      </x:c>
      <x:c r="M19" s="76" t="str">
        <x:v>WQ</x:v>
      </x:c>
      <x:c r="N19" s="76" t="str">
        <x:v>WQ</x:v>
      </x:c>
      <x:c r="O19" s="81" t="n">
        <x:f>PRODUCT(VLOOKUP(J19,$A$29:$F$56,2,FALSE),VLOOKUP(K19,$A$29:$F$56,3,FALSE),VLOOKUP(L19,$A$29:$F$56,4,FALSE),VLOOKUP(M19,$A$29:$F$56,5,FALSE),VLOOKUP(N19,$A$29:$F$56,6,FALSE))</x:f>
        <x:v>768</x:v>
      </x:c>
      <x:c r="P19" s="82" t="n">
        <x:f>O19/$N$5</x:f>
        <x:v>0.00024</x:v>
      </x:c>
      <x:c r="Q19" s="83" t="n">
        <x:f>INDEX($I$6:$K$11,MATCH(H19,$H$6:$H$11,0),MATCH(I19&amp;"連線",$I$5:$K$5,0))</x:f>
        <x:v>100</x:v>
      </x:c>
      <x:c r="R19" s="84" t="n">
        <x:f>P19*Q19</x:f>
        <x:v>0.024</x:v>
      </x:c>
    </x:row>
    <x:row r="20">
      <x:c r="A20" s="76" t="n">
        <x:v>15</x:v>
      </x:c>
      <x:c r="B20" s="76" t="str">
        <x:v>10</x:v>
      </x:c>
      <x:c r="C20" s="76" t="str">
        <x:v>J</x:v>
      </x:c>
      <x:c r="D20" s="76" t="str">
        <x:v>J</x:v>
      </x:c>
      <x:c r="E20" s="76" t="str">
        <x:v>J</x:v>
      </x:c>
      <x:c r="F20" s="76" t="str">
        <x:v>J</x:v>
      </x:c>
      <x:c r="G20" s="71"/>
      <x:c r="H20" s="76" t="str">
        <x:v>Q</x:v>
      </x:c>
      <x:c r="I20" s="76" t="n">
        <x:v>4</x:v>
      </x:c>
      <x:c r="J20" s="76" t="str">
        <x:v>WQ</x:v>
      </x:c>
      <x:c r="K20" s="76" t="str">
        <x:v>WQ</x:v>
      </x:c>
      <x:c r="L20" s="76" t="str">
        <x:v>WQ</x:v>
      </x:c>
      <x:c r="M20" s="76" t="str">
        <x:v>WQ</x:v>
      </x:c>
      <x:c r="N20" s="76" t="str">
        <x:v>X_WQ</x:v>
      </x:c>
      <x:c r="O20" s="81" t="n">
        <x:f>PRODUCT(VLOOKUP(J20,$A$29:$F$56,2,FALSE),VLOOKUP(K20,$A$29:$F$56,3,FALSE),VLOOKUP(L20,$A$29:$F$56,4,FALSE),VLOOKUP(M20,$A$29:$F$56,5,FALSE),VLOOKUP(N20,$A$29:$F$56,6,FALSE))</x:f>
        <x:v>3072</x:v>
      </x:c>
      <x:c r="P20" s="82" t="n">
        <x:f>O20/$N$5</x:f>
        <x:v>0.00096</x:v>
      </x:c>
      <x:c r="Q20" s="83" t="n">
        <x:f>INDEX($I$6:$K$11,MATCH(H20,$H$6:$H$11,0),MATCH(I20&amp;"連線",$I$5:$K$5,0))</x:f>
        <x:v>25</x:v>
      </x:c>
      <x:c r="R20" s="84" t="n">
        <x:f>P20*Q20</x:f>
        <x:v>0.024</x:v>
      </x:c>
    </x:row>
    <x:row r="21">
      <x:c r="A21" s="76" t="n">
        <x:v>16</x:v>
      </x:c>
      <x:c r="B21" s="76" t="str">
        <x:v>9</x:v>
      </x:c>
      <x:c r="C21" s="76" t="str">
        <x:v>10</x:v>
      </x:c>
      <x:c r="D21" s="76" t="str">
        <x:v>10</x:v>
      </x:c>
      <x:c r="E21" s="76" t="str">
        <x:v>10</x:v>
      </x:c>
      <x:c r="F21" s="76" t="str">
        <x:v>10</x:v>
      </x:c>
      <x:c r="G21" s="71"/>
      <x:c r="H21" s="76" t="str">
        <x:v>Q</x:v>
      </x:c>
      <x:c r="I21" s="76" t="n">
        <x:v>3</x:v>
      </x:c>
      <x:c r="J21" s="76" t="str">
        <x:v>WQ</x:v>
      </x:c>
      <x:c r="K21" s="76" t="str">
        <x:v>WQ</x:v>
      </x:c>
      <x:c r="L21" s="76" t="str">
        <x:v>WQ</x:v>
      </x:c>
      <x:c r="M21" s="76" t="str">
        <x:v>X_WQ</x:v>
      </x:c>
      <x:c r="N21" s="76" t="str">
        <x:v>-</x:v>
      </x:c>
      <x:c r="O21" s="81" t="n">
        <x:f>PRODUCT(VLOOKUP(J21,$A$29:$F$56,2,FALSE),VLOOKUP(K21,$A$29:$F$56,3,FALSE),VLOOKUP(L21,$A$29:$F$56,4,FALSE),VLOOKUP(M21,$A$29:$F$56,5,FALSE),VLOOKUP(N21,$A$29:$F$56,6,FALSE))</x:f>
        <x:v>15360</x:v>
      </x:c>
      <x:c r="P21" s="82" t="n">
        <x:f>O21/$N$5</x:f>
        <x:v>0.0048</x:v>
      </x:c>
      <x:c r="Q21" s="83" t="n">
        <x:f>INDEX($I$6:$K$11,MATCH(H21,$H$6:$H$11,0),MATCH(I21&amp;"連線",$I$5:$K$5,0))</x:f>
        <x:v>5</x:v>
      </x:c>
      <x:c r="R21" s="84" t="n">
        <x:f>P21*Q21</x:f>
        <x:v>0.023999999999999997</x:v>
      </x:c>
    </x:row>
    <x:row r="22">
      <x:c r="A22" s="76" t="n">
        <x:v>17</x:v>
      </x:c>
      <x:c r="B22" s="76" t="str">
        <x:v>9</x:v>
      </x:c>
      <x:c r="C22" s="76" t="str">
        <x:v>9</x:v>
      </x:c>
      <x:c r="D22" s="76" t="str">
        <x:v>9</x:v>
      </x:c>
      <x:c r="E22" s="76" t="str">
        <x:v>9</x:v>
      </x:c>
      <x:c r="F22" s="76" t="str">
        <x:v>9</x:v>
      </x:c>
      <x:c r="G22" s="71"/>
      <x:c r="H22" s="76" t="str">
        <x:v>J</x:v>
      </x:c>
      <x:c r="I22" s="76" t="n">
        <x:v>5</x:v>
      </x:c>
      <x:c r="J22" s="76" t="str">
        <x:v>WJ</x:v>
      </x:c>
      <x:c r="K22" s="76" t="str">
        <x:v>WJ</x:v>
      </x:c>
      <x:c r="L22" s="76" t="str">
        <x:v>WJ</x:v>
      </x:c>
      <x:c r="M22" s="76" t="str">
        <x:v>WJ</x:v>
      </x:c>
      <x:c r="N22" s="76" t="str">
        <x:v>WJ</x:v>
      </x:c>
      <x:c r="O22" s="81" t="n">
        <x:f>PRODUCT(VLOOKUP(J22,$A$29:$F$56,2,FALSE),VLOOKUP(K22,$A$29:$F$56,3,FALSE),VLOOKUP(L22,$A$29:$F$56,4,FALSE),VLOOKUP(M22,$A$29:$F$56,5,FALSE),VLOOKUP(N22,$A$29:$F$56,6,FALSE))</x:f>
        <x:v>3000</x:v>
      </x:c>
      <x:c r="P22" s="82" t="n">
        <x:f>O22/$N$5</x:f>
        <x:v>0.0009375</x:v>
      </x:c>
      <x:c r="Q22" s="83" t="n">
        <x:f>INDEX($I$6:$K$11,MATCH(H22,$H$6:$H$11,0),MATCH(I22&amp;"連線",$I$5:$K$5,0))</x:f>
        <x:v>75</x:v>
      </x:c>
      <x:c r="R22" s="84" t="n">
        <x:f>P22*Q22</x:f>
        <x:v>0.0703125</x:v>
      </x:c>
    </x:row>
    <x:row r="23">
      <x:c r="A23" s="76" t="n">
        <x:v>18</x:v>
      </x:c>
      <x:c r="B23" s="76" t="str">
        <x:v>J</x:v>
      </x:c>
      <x:c r="C23" s="76" t="str">
        <x:v>J</x:v>
      </x:c>
      <x:c r="D23" s="76" t="str">
        <x:v>J</x:v>
      </x:c>
      <x:c r="E23" s="76" t="str">
        <x:v>J</x:v>
      </x:c>
      <x:c r="F23" s="76" t="str">
        <x:v>J</x:v>
      </x:c>
      <x:c r="G23" s="71"/>
      <x:c r="H23" s="76" t="str">
        <x:v>J</x:v>
      </x:c>
      <x:c r="I23" s="76" t="n">
        <x:v>4</x:v>
      </x:c>
      <x:c r="J23" s="76" t="str">
        <x:v>WJ</x:v>
      </x:c>
      <x:c r="K23" s="76" t="str">
        <x:v>WJ</x:v>
      </x:c>
      <x:c r="L23" s="76" t="str">
        <x:v>WJ</x:v>
      </x:c>
      <x:c r="M23" s="76" t="str">
        <x:v>WJ</x:v>
      </x:c>
      <x:c r="N23" s="76" t="str">
        <x:v>X_WJ</x:v>
      </x:c>
      <x:c r="O23" s="81" t="n">
        <x:f>PRODUCT(VLOOKUP(J23,$A$29:$F$56,2,FALSE),VLOOKUP(K23,$A$29:$F$56,3,FALSE),VLOOKUP(L23,$A$29:$F$56,4,FALSE),VLOOKUP(M23,$A$29:$F$56,5,FALSE),VLOOKUP(N23,$A$29:$F$56,6,FALSE))</x:f>
        <x:v>9000</x:v>
      </x:c>
      <x:c r="P23" s="82" t="n">
        <x:f>O23/$N$5</x:f>
        <x:v>0.0028125</x:v>
      </x:c>
      <x:c r="Q23" s="83" t="n">
        <x:f>INDEX($I$6:$K$11,MATCH(H23,$H$6:$H$11,0),MATCH(I23&amp;"連線",$I$5:$K$5,0))</x:f>
        <x:v>20</x:v>
      </x:c>
      <x:c r="R23" s="84" t="n">
        <x:f>P23*Q23</x:f>
        <x:v>0.056249999999999994</x:v>
      </x:c>
    </x:row>
    <x:row r="24">
      <x:c r="A24" s="76" t="n">
        <x:v>19</x:v>
      </x:c>
      <x:c r="B24" s="76" t="str">
        <x:v>10</x:v>
      </x:c>
      <x:c r="C24" s="76" t="str">
        <x:v>J</x:v>
      </x:c>
      <x:c r="D24" s="76" t="str">
        <x:v>10</x:v>
      </x:c>
      <x:c r="E24" s="76" t="str">
        <x:v>10</x:v>
      </x:c>
      <x:c r="F24" s="76" t="str">
        <x:v>10</x:v>
      </x:c>
      <x:c r="G24" s="71"/>
      <x:c r="H24" s="76" t="str">
        <x:v>J</x:v>
      </x:c>
      <x:c r="I24" s="76" t="n">
        <x:v>3</x:v>
      </x:c>
      <x:c r="J24" s="76" t="str">
        <x:v>WJ</x:v>
      </x:c>
      <x:c r="K24" s="76" t="str">
        <x:v>WJ</x:v>
      </x:c>
      <x:c r="L24" s="76" t="str">
        <x:v>WJ</x:v>
      </x:c>
      <x:c r="M24" s="76" t="str">
        <x:v>X_WJ</x:v>
      </x:c>
      <x:c r="N24" s="76" t="str">
        <x:v>-</x:v>
      </x:c>
      <x:c r="O24" s="81" t="n">
        <x:f>PRODUCT(VLOOKUP(J24,$A$29:$F$56,2,FALSE),VLOOKUP(K24,$A$29:$F$56,3,FALSE),VLOOKUP(L24,$A$29:$F$56,4,FALSE),VLOOKUP(M24,$A$29:$F$56,5,FALSE),VLOOKUP(N24,$A$29:$F$56,6,FALSE))</x:f>
        <x:v>36000</x:v>
      </x:c>
      <x:c r="P24" s="82" t="n">
        <x:f>O24/$N$5</x:f>
        <x:v>0.01125</x:v>
      </x:c>
      <x:c r="Q24" s="83" t="n">
        <x:f>INDEX($I$6:$K$11,MATCH(H24,$H$6:$H$11,0),MATCH(I24&amp;"連線",$I$5:$K$5,0))</x:f>
        <x:v>5</x:v>
      </x:c>
      <x:c r="R24" s="84" t="n">
        <x:f>P24*Q24</x:f>
        <x:v>0.056249999999999994</x:v>
      </x:c>
    </x:row>
    <x:row r="25">
      <x:c r="A25" s="76" t="n">
        <x:v>20</x:v>
      </x:c>
      <x:c r="B25" s="76" t="str">
        <x:v>9</x:v>
      </x:c>
      <x:c r="C25" s="76" t="str">
        <x:v>9</x:v>
      </x:c>
      <x:c r="D25" s="76" t="str">
        <x:v>9</x:v>
      </x:c>
      <x:c r="E25" s="76" t="str">
        <x:v>9</x:v>
      </x:c>
      <x:c r="F25" s="76" t="str">
        <x:v>9</x:v>
      </x:c>
      <x:c r="G25" s="71"/>
      <x:c r="H25" s="76" t="str">
        <x:v>10</x:v>
      </x:c>
      <x:c r="I25" s="76" t="n">
        <x:v>5</x:v>
      </x:c>
      <x:c r="J25" s="76" t="str">
        <x:v>W10</x:v>
      </x:c>
      <x:c r="K25" s="76" t="str">
        <x:v>W10</x:v>
      </x:c>
      <x:c r="L25" s="76" t="str">
        <x:v>W10</x:v>
      </x:c>
      <x:c r="M25" s="76" t="str">
        <x:v>W10</x:v>
      </x:c>
      <x:c r="N25" s="76" t="str">
        <x:v>W10</x:v>
      </x:c>
      <x:c r="O25" s="81" t="n">
        <x:f>PRODUCT(VLOOKUP(J25,$A$29:$F$56,2,FALSE),VLOOKUP(K25,$A$29:$F$56,3,FALSE),VLOOKUP(L25,$A$29:$F$56,4,FALSE),VLOOKUP(M25,$A$29:$F$56,5,FALSE),VLOOKUP(N25,$A$29:$F$56,6,FALSE))</x:f>
        <x:v>2500</x:v>
      </x:c>
      <x:c r="P25" s="82" t="n">
        <x:f>O25/$N$5</x:f>
        <x:v>0.00078125</x:v>
      </x:c>
      <x:c r="Q25" s="83" t="n">
        <x:f>INDEX($I$6:$K$11,MATCH(H25,$H$6:$H$11,0),MATCH(I25&amp;"連線",$I$5:$K$5,0))</x:f>
        <x:v>75</x:v>
      </x:c>
      <x:c r="R25" s="84" t="n">
        <x:f>P25*Q25</x:f>
        <x:v>0.05859375</x:v>
      </x:c>
    </x:row>
    <x:row r="26">
      <x:c r="A26" s="71"/>
      <x:c r="B26" s="71"/>
      <x:c r="C26" s="71"/>
      <x:c r="D26" s="71"/>
      <x:c r="E26" s="71"/>
      <x:c r="F26" s="71"/>
      <x:c r="G26" s="71"/>
      <x:c r="H26" s="76" t="str">
        <x:v>10</x:v>
      </x:c>
      <x:c r="I26" s="76" t="n">
        <x:v>4</x:v>
      </x:c>
      <x:c r="J26" s="76" t="str">
        <x:v>W10</x:v>
      </x:c>
      <x:c r="K26" s="76" t="str">
        <x:v>W10</x:v>
      </x:c>
      <x:c r="L26" s="76" t="str">
        <x:v>W10</x:v>
      </x:c>
      <x:c r="M26" s="76" t="str">
        <x:v>W10</x:v>
      </x:c>
      <x:c r="N26" s="76" t="str">
        <x:v>X_W10</x:v>
      </x:c>
      <x:c r="O26" s="81" t="n">
        <x:f>PRODUCT(VLOOKUP(J26,$A$29:$F$56,2,FALSE),VLOOKUP(K26,$A$29:$F$56,3,FALSE),VLOOKUP(L26,$A$29:$F$56,4,FALSE),VLOOKUP(M26,$A$29:$F$56,5,FALSE),VLOOKUP(N26,$A$29:$F$56,6,FALSE))</x:f>
        <x:v>7500</x:v>
      </x:c>
      <x:c r="P26" s="82" t="n">
        <x:f>O26/$N$5</x:f>
        <x:v>0.00234375</x:v>
      </x:c>
      <x:c r="Q26" s="83" t="n">
        <x:f>INDEX($I$6:$K$11,MATCH(H26,$H$6:$H$11,0),MATCH(I26&amp;"連線",$I$5:$K$5,0))</x:f>
        <x:v>20</x:v>
      </x:c>
      <x:c r="R26" s="84" t="n">
        <x:f>P26*Q26</x:f>
        <x:v>0.046875</x:v>
      </x:c>
    </x:row>
    <x:row r="27">
      <x:c r="A27" s="71"/>
      <x:c r="B27" s="71"/>
      <x:c r="C27" s="71"/>
      <x:c r="D27" s="71"/>
      <x:c r="E27" s="71"/>
      <x:c r="F27" s="71"/>
      <x:c r="G27" s="71"/>
      <x:c r="H27" s="76" t="str">
        <x:v>10</x:v>
      </x:c>
      <x:c r="I27" s="76" t="n">
        <x:v>3</x:v>
      </x:c>
      <x:c r="J27" s="76" t="str">
        <x:v>W10</x:v>
      </x:c>
      <x:c r="K27" s="76" t="str">
        <x:v>W10</x:v>
      </x:c>
      <x:c r="L27" s="76" t="str">
        <x:v>W10</x:v>
      </x:c>
      <x:c r="M27" s="76" t="str">
        <x:v>X_W10</x:v>
      </x:c>
      <x:c r="N27" s="76" t="str">
        <x:v>-</x:v>
      </x:c>
      <x:c r="O27" s="81" t="n">
        <x:f>PRODUCT(VLOOKUP(J27,$A$29:$F$56,2,FALSE),VLOOKUP(K27,$A$29:$F$56,3,FALSE),VLOOKUP(L27,$A$29:$F$56,4,FALSE),VLOOKUP(M27,$A$29:$F$56,5,FALSE),VLOOKUP(N27,$A$29:$F$56,6,FALSE))</x:f>
        <x:v>30000</x:v>
      </x:c>
      <x:c r="P27" s="82" t="n">
        <x:f>O27/$N$5</x:f>
        <x:v>0.009375</x:v>
      </x:c>
      <x:c r="Q27" s="83" t="n">
        <x:f>INDEX($I$6:$K$11,MATCH(H27,$H$6:$H$11,0),MATCH(I27&amp;"連線",$I$5:$K$5,0))</x:f>
        <x:v>5</x:v>
      </x:c>
      <x:c r="R27" s="84" t="n">
        <x:f>P27*Q27</x:f>
        <x:v>0.046875</x:v>
      </x:c>
    </x:row>
    <x:row r="28">
      <x:c r="A28" s="73" t="str">
        <x:v>各圖案在轉輪表上出現的次數</x:v>
      </x:c>
      <x:c r="B28" s="73" t="str">
        <x:v>各圖案在轉輪表上出現的次數</x:v>
      </x:c>
      <x:c r="C28" s="73" t="str">
        <x:v>各圖案在轉輪表上出現的次數</x:v>
      </x:c>
      <x:c r="D28" s="73" t="str">
        <x:v>各圖案在轉輪表上出現的次數</x:v>
      </x:c>
      <x:c r="E28" s="73" t="str">
        <x:v>各圖案在轉輪表上出現的次數</x:v>
      </x:c>
      <x:c r="F28" s="73" t="str">
        <x:v>各圖案在轉輪表上出現的次數</x:v>
      </x:c>
      <x:c r="G28" s="71"/>
      <x:c r="H28" s="76" t="str">
        <x:v>9</x:v>
      </x:c>
      <x:c r="I28" s="76" t="n">
        <x:v>5</x:v>
      </x:c>
      <x:c r="J28" s="76" t="str">
        <x:v>W9</x:v>
      </x:c>
      <x:c r="K28" s="76" t="str">
        <x:v>W9</x:v>
      </x:c>
      <x:c r="L28" s="76" t="str">
        <x:v>W9</x:v>
      </x:c>
      <x:c r="M28" s="76" t="str">
        <x:v>W9</x:v>
      </x:c>
      <x:c r="N28" s="76" t="str">
        <x:v>W9</x:v>
      </x:c>
      <x:c r="O28" s="81" t="n">
        <x:f>PRODUCT(VLOOKUP(J28,$A$29:$F$56,2,FALSE),VLOOKUP(K28,$A$29:$F$56,3,FALSE),VLOOKUP(L28,$A$29:$F$56,4,FALSE),VLOOKUP(M28,$A$29:$F$56,5,FALSE),VLOOKUP(N28,$A$29:$F$56,6,FALSE))</x:f>
        <x:v>4500</x:v>
      </x:c>
      <x:c r="P28" s="82" t="n">
        <x:f>O28/$N$5</x:f>
        <x:v>0.00140625</x:v>
      </x:c>
      <x:c r="Q28" s="83" t="n">
        <x:f>INDEX($I$6:$K$11,MATCH(H28,$H$6:$H$11,0),MATCH(I28&amp;"連線",$I$5:$K$5,0))</x:f>
        <x:v>50</x:v>
      </x:c>
      <x:c r="R28" s="84" t="n">
        <x:f>P28*Q28</x:f>
        <x:v>0.0703125</x:v>
      </x:c>
    </x:row>
    <x:row r="29">
      <x:c r="A29" s="74" t="str">
        <x:v>圖案</x:v>
      </x:c>
      <x:c r="B29" s="74" t="str">
        <x:v>轉輪1</x:v>
      </x:c>
      <x:c r="C29" s="74" t="str">
        <x:v>轉輪2</x:v>
      </x:c>
      <x:c r="D29" s="74" t="str">
        <x:v>轉輪3</x:v>
      </x:c>
      <x:c r="E29" s="74" t="str">
        <x:v>轉輪4</x:v>
      </x:c>
      <x:c r="F29" s="74" t="str">
        <x:v>轉輪5</x:v>
      </x:c>
      <x:c r="G29" s="71"/>
      <x:c r="H29" s="76" t="str">
        <x:v>9</x:v>
      </x:c>
      <x:c r="I29" s="76" t="n">
        <x:v>4</x:v>
      </x:c>
      <x:c r="J29" s="76" t="str">
        <x:v>W9</x:v>
      </x:c>
      <x:c r="K29" s="76" t="str">
        <x:v>W9</x:v>
      </x:c>
      <x:c r="L29" s="76" t="str">
        <x:v>W9</x:v>
      </x:c>
      <x:c r="M29" s="76" t="str">
        <x:v>W9</x:v>
      </x:c>
      <x:c r="N29" s="76" t="str">
        <x:v>X_W9</x:v>
      </x:c>
      <x:c r="O29" s="81" t="n">
        <x:f>PRODUCT(VLOOKUP(J29,$A$29:$F$56,2,FALSE),VLOOKUP(K29,$A$29:$F$56,3,FALSE),VLOOKUP(L29,$A$29:$F$56,4,FALSE),VLOOKUP(M29,$A$29:$F$56,5,FALSE),VLOOKUP(N29,$A$29:$F$56,6,FALSE))</x:f>
        <x:v>10500</x:v>
      </x:c>
      <x:c r="P29" s="82" t="n">
        <x:f>O29/$N$5</x:f>
        <x:v>0.00328125</x:v>
      </x:c>
      <x:c r="Q29" s="83" t="n">
        <x:f>INDEX($I$6:$K$11,MATCH(H29,$H$6:$H$11,0),MATCH(I29&amp;"連線",$I$5:$K$5,0))</x:f>
        <x:v>10</x:v>
      </x:c>
      <x:c r="R29" s="84" t="n">
        <x:f>P29*Q29</x:f>
        <x:v>0.0328125</x:v>
      </x:c>
    </x:row>
    <x:row r="30">
      <x:c r="A30" s="76" t="str">
        <x:v>W</x:v>
      </x:c>
      <x:c r="B30" s="77" t="n">
        <x:f>COUNTIF(B$6:B$25,$A30)</x:f>
        <x:v>0</x:v>
      </x:c>
      <x:c r="C30" s="77" t="n">
        <x:f>COUNTIF(C$6:C$25,$A30)</x:f>
        <x:v>1</x:v>
      </x:c>
      <x:c r="D30" s="77" t="n">
        <x:f>COUNTIF(D$6:D$25,$A30)</x:f>
        <x:v>1</x:v>
      </x:c>
      <x:c r="E30" s="77" t="n">
        <x:f>COUNTIF(E$6:E$25,$A30)</x:f>
        <x:v>1</x:v>
      </x:c>
      <x:c r="F30" s="77" t="n">
        <x:f>COUNTIF(F$6:F$25,$A30)</x:f>
        <x:v>1</x:v>
      </x:c>
      <x:c r="G30" s="71"/>
      <x:c r="H30" s="76" t="str">
        <x:v>9</x:v>
      </x:c>
      <x:c r="I30" s="76" t="n">
        <x:v>3</x:v>
      </x:c>
      <x:c r="J30" s="76" t="str">
        <x:v>W9</x:v>
      </x:c>
      <x:c r="K30" s="76" t="str">
        <x:v>W9</x:v>
      </x:c>
      <x:c r="L30" s="76" t="str">
        <x:v>W9</x:v>
      </x:c>
      <x:c r="M30" s="76" t="str">
        <x:v>X_W9</x:v>
      </x:c>
      <x:c r="N30" s="76" t="str">
        <x:v>-</x:v>
      </x:c>
      <x:c r="O30" s="81" t="n">
        <x:f>PRODUCT(VLOOKUP(J30,$A$29:$F$56,2,FALSE),VLOOKUP(K30,$A$29:$F$56,3,FALSE),VLOOKUP(L30,$A$29:$F$56,4,FALSE),VLOOKUP(M30,$A$29:$F$56,5,FALSE),VLOOKUP(N30,$A$29:$F$56,6,FALSE))</x:f>
        <x:v>45000</x:v>
      </x:c>
      <x:c r="P30" s="82" t="n">
        <x:f>O30/$N$5</x:f>
        <x:v>0.0140625</x:v>
      </x:c>
      <x:c r="Q30" s="83" t="n">
        <x:f>INDEX($I$6:$K$11,MATCH(H30,$H$6:$H$11,0),MATCH(I30&amp;"連線",$I$5:$K$5,0))</x:f>
        <x:v>5</x:v>
      </x:c>
      <x:c r="R30" s="84" t="n">
        <x:f>P30*Q30</x:f>
        <x:v>0.0703125</x:v>
      </x:c>
    </x:row>
    <x:row r="31">
      <x:c r="A31" s="76" t="str">
        <x:v>K</x:v>
      </x:c>
      <x:c r="B31" s="77" t="n">
        <x:f>COUNTIF(B$6:B$25,$A31)</x:f>
        <x:v>2</x:v>
      </x:c>
      <x:c r="C31" s="77" t="n">
        <x:f>COUNTIF(C$6:C$25,$A31)</x:f>
        <x:v>3</x:v>
      </x:c>
      <x:c r="D31" s="77" t="n">
        <x:f>COUNTIF(D$6:D$25,$A31)</x:f>
        <x:v>3</x:v>
      </x:c>
      <x:c r="E31" s="77" t="n">
        <x:f>COUNTIF(E$6:E$25,$A31)</x:f>
        <x:v>3</x:v>
      </x:c>
      <x:c r="F31" s="77" t="n">
        <x:f>COUNTIF(F$6:F$25,$A31)</x:f>
        <x:v>3</x:v>
      </x:c>
      <x:c r="G31" s="71"/>
      <x:c r="H31" s="71"/>
      <x:c r="I31" s="71"/>
      <x:c r="J31" s="71"/>
      <x:c r="K31" s="71"/>
      <x:c r="L31" s="71"/>
      <x:c r="M31" s="71"/>
      <x:c r="N31" s="71"/>
      <x:c r="O31" s="71"/>
      <x:c r="P31" s="71"/>
      <x:c r="Q31" s="71"/>
      <x:c r="R31" s="71"/>
    </x:row>
    <x:row r="32">
      <x:c r="A32" s="76" t="str">
        <x:v>Q</x:v>
      </x:c>
      <x:c r="B32" s="77" t="n">
        <x:f>COUNTIF(B$6:B$25,$A32)</x:f>
        <x:v>3</x:v>
      </x:c>
      <x:c r="C32" s="77" t="n">
        <x:f>COUNTIF(C$6:C$25,$A32)</x:f>
        <x:v>3</x:v>
      </x:c>
      <x:c r="D32" s="77" t="n">
        <x:f>COUNTIF(D$6:D$25,$A32)</x:f>
        <x:v>3</x:v>
      </x:c>
      <x:c r="E32" s="77" t="n">
        <x:f>COUNTIF(E$6:E$25,$A32)</x:f>
        <x:v>3</x:v>
      </x:c>
      <x:c r="F32" s="77" t="n">
        <x:f>COUNTIF(F$6:F$25,$A32)</x:f>
        <x:v>3</x:v>
      </x:c>
      <x:c r="G32" s="71"/>
      <x:c r="H32" s="71"/>
      <x:c r="I32" s="71"/>
      <x:c r="J32" s="71"/>
      <x:c r="K32" s="71"/>
      <x:c r="L32" s="71"/>
      <x:c r="M32" s="71"/>
      <x:c r="N32" s="71"/>
      <x:c r="O32" s="71"/>
      <x:c r="P32" s="71"/>
      <x:c r="Q32" s="71"/>
      <x:c r="R32" s="71"/>
    </x:row>
    <x:row r="33">
      <x:c r="A33" s="76" t="str">
        <x:v>J</x:v>
      </x:c>
      <x:c r="B33" s="77" t="n">
        <x:f>COUNTIF(B$6:B$25,$A33)</x:f>
        <x:v>4</x:v>
      </x:c>
      <x:c r="C33" s="77" t="n">
        <x:f>COUNTIF(C$6:C$25,$A33)</x:f>
        <x:v>5</x:v>
      </x:c>
      <x:c r="D33" s="77" t="n">
        <x:f>COUNTIF(D$6:D$25,$A33)</x:f>
        <x:v>4</x:v>
      </x:c>
      <x:c r="E33" s="77" t="n">
        <x:f>COUNTIF(E$6:E$25,$A33)</x:f>
        <x:v>4</x:v>
      </x:c>
      <x:c r="F33" s="77" t="n">
        <x:f>COUNTIF(F$6:F$25,$A33)</x:f>
        <x:v>4</x:v>
      </x:c>
      <x:c r="G33" s="71"/>
      <x:c r="H33" s="71"/>
      <x:c r="I33" s="71"/>
      <x:c r="J33" s="71"/>
      <x:c r="K33" s="71"/>
      <x:c r="L33" s="71"/>
      <x:c r="M33" s="71"/>
      <x:c r="N33" s="71"/>
      <x:c r="O33" s="71"/>
      <x:c r="P33" s="71"/>
      <x:c r="Q33" s="71"/>
      <x:c r="R33" s="71"/>
    </x:row>
    <x:row r="34">
      <x:c r="A34" s="76" t="str">
        <x:v>10</x:v>
      </x:c>
      <x:c r="B34" s="77" t="n">
        <x:f>COUNTIF(B$6:B$25,$A34)</x:f>
        <x:v>5</x:v>
      </x:c>
      <x:c r="C34" s="77" t="n">
        <x:f>COUNTIF(C$6:C$25,$A34)</x:f>
        <x:v>3</x:v>
      </x:c>
      <x:c r="D34" s="77" t="n">
        <x:f>COUNTIF(D$6:D$25,$A34)</x:f>
        <x:v>4</x:v>
      </x:c>
      <x:c r="E34" s="77" t="n">
        <x:f>COUNTIF(E$6:E$25,$A34)</x:f>
        <x:v>4</x:v>
      </x:c>
      <x:c r="F34" s="77" t="n">
        <x:f>COUNTIF(F$6:F$25,$A34)</x:f>
        <x:v>4</x:v>
      </x:c>
      <x:c r="G34" s="71"/>
      <x:c r="H34" s="71"/>
      <x:c r="I34" s="71"/>
      <x:c r="J34" s="71"/>
      <x:c r="K34" s="71"/>
      <x:c r="L34" s="71"/>
      <x:c r="M34" s="71"/>
      <x:c r="N34" s="71"/>
      <x:c r="O34" s="71"/>
      <x:c r="P34" s="71"/>
      <x:c r="Q34" s="71"/>
      <x:c r="R34" s="71"/>
    </x:row>
    <x:row r="35">
      <x:c r="A35" s="76" t="str">
        <x:v>9</x:v>
      </x:c>
      <x:c r="B35" s="77" t="n">
        <x:f>COUNTIF(B$6:B$25,$A35)</x:f>
        <x:v>6</x:v>
      </x:c>
      <x:c r="C35" s="77" t="n">
        <x:f>COUNTIF(C$6:C$25,$A35)</x:f>
        <x:v>4</x:v>
      </x:c>
      <x:c r="D35" s="77" t="n">
        <x:f>COUNTIF(D$6:D$25,$A35)</x:f>
        <x:v>4</x:v>
      </x:c>
      <x:c r="E35" s="77" t="n">
        <x:f>COUNTIF(E$6:E$25,$A35)</x:f>
        <x:v>4</x:v>
      </x:c>
      <x:c r="F35" s="77" t="n">
        <x:f>COUNTIF(F$6:F$25,$A35)</x:f>
        <x:v>5</x:v>
      </x:c>
      <x:c r="G35" s="71"/>
      <x:c r="H35" s="71"/>
      <x:c r="I35" s="71"/>
      <x:c r="J35" s="71"/>
      <x:c r="K35" s="71"/>
      <x:c r="L35" s="71"/>
      <x:c r="M35" s="71"/>
      <x:c r="N35" s="71"/>
      <x:c r="O35" s="71"/>
      <x:c r="P35" s="71"/>
      <x:c r="Q35" s="71"/>
      <x:c r="R35" s="71"/>
    </x:row>
    <x:row r="36">
      <x:c r="A36" s="76" t="str">
        <x:v>S</x:v>
      </x:c>
      <x:c r="B36" s="77" t="n">
        <x:f>COUNTIF(B$6:B$25,$A36)</x:f>
        <x:v>0</x:v>
      </x:c>
      <x:c r="C36" s="77" t="n">
        <x:f>COUNTIF(C$6:C$25,$A36)</x:f>
        <x:v>1</x:v>
      </x:c>
      <x:c r="D36" s="77" t="n">
        <x:f>COUNTIF(D$6:D$25,$A36)</x:f>
        <x:v>1</x:v>
      </x:c>
      <x:c r="E36" s="77" t="n">
        <x:f>COUNTIF(E$6:E$25,$A36)</x:f>
        <x:v>1</x:v>
      </x:c>
      <x:c r="F36" s="77" t="n">
        <x:f>COUNTIF(F$6:F$25,$A36)</x:f>
        <x:v>0</x:v>
      </x:c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</x:row>
    <x:row r="37">
      <x:c r="A37" s="76" t="str">
        <x:v>3*S</x:v>
      </x:c>
      <x:c r="B37" s="77" t="n">
        <x:f>COUNTIF(B$6:B$25,"S")*3</x:f>
        <x:v>0</x:v>
      </x:c>
      <x:c r="C37" s="77" t="n">
        <x:f>COUNTIF(C$6:C$25,"S")*3</x:f>
        <x:v>3</x:v>
      </x:c>
      <x:c r="D37" s="77" t="n">
        <x:f>COUNTIF(D$6:D$25,"S")*3</x:f>
        <x:v>3</x:v>
      </x:c>
      <x:c r="E37" s="77" t="n">
        <x:f>COUNTIF(E$6:E$25,"S")*3</x:f>
        <x:v>3</x:v>
      </x:c>
      <x:c r="F37" s="77" t="n">
        <x:f>COUNTIF(F$6:F$25,"S")*3</x:f>
        <x:v>0</x:v>
      </x:c>
      <x:c r="G37" s="71"/>
      <x:c r="H37" s="71"/>
      <x:c r="I37" s="71"/>
      <x:c r="J37" s="71"/>
      <x:c r="K37" s="71"/>
      <x:c r="L37" s="71"/>
      <x:c r="M37" s="71"/>
      <x:c r="N37" s="71"/>
      <x:c r="O37" s="71"/>
      <x:c r="P37" s="71"/>
      <x:c r="Q37" s="71"/>
      <x:c r="R37" s="71"/>
    </x:row>
    <x:row r="38">
      <x:c r="A38" s="76" t="str">
        <x:v>-</x:v>
      </x:c>
      <x:c r="B38" s="77" t="n">
        <x:f>COUNTA(B$6:B$25)</x:f>
        <x:v>20</x:v>
      </x:c>
      <x:c r="C38" s="77" t="n">
        <x:f>COUNTA(C$6:C$25)</x:f>
        <x:v>20</x:v>
      </x:c>
      <x:c r="D38" s="77" t="n">
        <x:f>COUNTA(D$6:D$25)</x:f>
        <x:v>20</x:v>
      </x:c>
      <x:c r="E38" s="77" t="n">
        <x:f>COUNTA(E$6:E$25)</x:f>
        <x:v>20</x:v>
      </x:c>
      <x:c r="F38" s="77" t="n">
        <x:f>COUNTA(F$6:F$25)</x:f>
        <x:v>20</x:v>
      </x:c>
      <x:c r="G38" s="71"/>
      <x:c r="H38" s="71"/>
      <x:c r="I38" s="71"/>
      <x:c r="J38" s="71"/>
      <x:c r="K38" s="71"/>
      <x:c r="L38" s="71"/>
      <x:c r="M38" s="71"/>
      <x:c r="N38" s="71"/>
      <x:c r="O38" s="71"/>
      <x:c r="P38" s="71"/>
      <x:c r="Q38" s="71"/>
      <x:c r="R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  <x:c r="P40" s="71"/>
      <x:c r="Q40" s="71"/>
      <x:c r="R40" s="71"/>
    </x:row>
    <x:row r="41">
      <x:c r="A41" s="73" t="str">
        <x:v>WILD + 各圖案個數</x:v>
      </x:c>
      <x:c r="B41" s="73" t="str">
        <x:v>WILD + 各圖案個數</x:v>
      </x:c>
      <x:c r="C41" s="73" t="str">
        <x:v>WILD + 各圖案個數</x:v>
      </x:c>
      <x:c r="D41" s="73" t="str">
        <x:v>WILD + 各圖案個數</x:v>
      </x:c>
      <x:c r="E41" s="73" t="str">
        <x:v>WILD + 各圖案個數</x:v>
      </x:c>
      <x:c r="F41" s="73" t="str">
        <x:v>WILD + 各圖案個數</x:v>
      </x:c>
      <x:c r="G41" s="71"/>
      <x:c r="H41" s="71"/>
      <x:c r="I41" s="71"/>
      <x:c r="J41" s="71"/>
      <x:c r="K41" s="71"/>
      <x:c r="L41" s="71"/>
      <x:c r="M41" s="71"/>
      <x:c r="N41" s="71"/>
      <x:c r="O41" s="71"/>
      <x:c r="P41" s="71"/>
      <x:c r="Q41" s="71"/>
      <x:c r="R41" s="71"/>
    </x:row>
    <x:row r="42">
      <x:c r="A42" s="74" t="str">
        <x:v>圖案</x:v>
      </x:c>
      <x:c r="B42" s="74" t="str">
        <x:v>轉輪1</x:v>
      </x:c>
      <x:c r="C42" s="74" t="str">
        <x:v>轉輪2</x:v>
      </x:c>
      <x:c r="D42" s="74" t="str">
        <x:v>轉輪3</x:v>
      </x:c>
      <x:c r="E42" s="74" t="str">
        <x:v>轉輪4</x:v>
      </x:c>
      <x:c r="F42" s="74" t="str">
        <x:v>轉輪5</x:v>
      </x:c>
      <x:c r="G42" s="71"/>
      <x:c r="H42" s="71"/>
      <x:c r="I42" s="71"/>
      <x:c r="J42" s="71"/>
      <x:c r="K42" s="71"/>
      <x:c r="L42" s="71"/>
      <x:c r="M42" s="71"/>
      <x:c r="N42" s="71"/>
      <x:c r="O42" s="71"/>
      <x:c r="P42" s="71"/>
      <x:c r="Q42" s="71"/>
      <x:c r="R42" s="71"/>
    </x:row>
    <x:row r="43">
      <x:c r="A43" s="76" t="str">
        <x:v>WK</x:v>
      </x:c>
      <x:c r="B43" s="77" t="n">
        <x:f>B$30+B$31</x:f>
        <x:v>2</x:v>
      </x:c>
      <x:c r="C43" s="77" t="n">
        <x:f>C$30+C$31</x:f>
        <x:v>4</x:v>
      </x:c>
      <x:c r="D43" s="77" t="n">
        <x:f>D$30+D$31</x:f>
        <x:v>4</x:v>
      </x:c>
      <x:c r="E43" s="77" t="n">
        <x:f>E$30+E$31</x:f>
        <x:v>4</x:v>
      </x:c>
      <x:c r="F43" s="77" t="n">
        <x:f>F$30+F$31</x:f>
        <x:v>4</x:v>
      </x:c>
      <x:c r="G43" s="71"/>
      <x:c r="H43" s="71"/>
      <x:c r="I43" s="71"/>
      <x:c r="J43" s="71"/>
      <x:c r="K43" s="71"/>
      <x:c r="L43" s="71"/>
      <x:c r="M43" s="71"/>
      <x:c r="N43" s="71"/>
      <x:c r="O43" s="71"/>
      <x:c r="P43" s="71"/>
      <x:c r="Q43" s="71"/>
      <x:c r="R43" s="71"/>
    </x:row>
    <x:row r="44">
      <x:c r="A44" s="76" t="str">
        <x:v>WQ</x:v>
      </x:c>
      <x:c r="B44" s="77" t="n">
        <x:f>B$30+B$32</x:f>
        <x:v>3</x:v>
      </x:c>
      <x:c r="C44" s="77" t="n">
        <x:f>C$30+C$32</x:f>
        <x:v>4</x:v>
      </x:c>
      <x:c r="D44" s="77" t="n">
        <x:f>D$30+D$32</x:f>
        <x:v>4</x:v>
      </x:c>
      <x:c r="E44" s="77" t="n">
        <x:f>E$30+E$32</x:f>
        <x:v>4</x:v>
      </x:c>
      <x:c r="F44" s="77" t="n">
        <x:f>F$30+F$32</x:f>
        <x:v>4</x:v>
      </x:c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</x:row>
    <x:row r="45">
      <x:c r="A45" s="76" t="str">
        <x:v>WJ</x:v>
      </x:c>
      <x:c r="B45" s="77" t="n">
        <x:f>B$30+B$33</x:f>
        <x:v>4</x:v>
      </x:c>
      <x:c r="C45" s="77" t="n">
        <x:f>C$30+C$33</x:f>
        <x:v>6</x:v>
      </x:c>
      <x:c r="D45" s="77" t="n">
        <x:f>D$30+D$33</x:f>
        <x:v>5</x:v>
      </x:c>
      <x:c r="E45" s="77" t="n">
        <x:f>E$30+E$33</x:f>
        <x:v>5</x:v>
      </x:c>
      <x:c r="F45" s="77" t="n">
        <x:f>F$30+F$33</x:f>
        <x:v>5</x:v>
      </x:c>
      <x:c r="G45" s="71"/>
      <x:c r="H45" s="71"/>
      <x:c r="I45" s="71"/>
      <x:c r="J45" s="71"/>
      <x:c r="K45" s="71"/>
      <x:c r="L45" s="71"/>
      <x:c r="M45" s="71"/>
      <x:c r="N45" s="71"/>
      <x:c r="O45" s="71"/>
      <x:c r="P45" s="71"/>
      <x:c r="Q45" s="71"/>
      <x:c r="R45" s="71"/>
    </x:row>
    <x:row r="46">
      <x:c r="A46" s="76" t="str">
        <x:v>W10</x:v>
      </x:c>
      <x:c r="B46" s="77" t="n">
        <x:f>B$30+B$34</x:f>
        <x:v>5</x:v>
      </x:c>
      <x:c r="C46" s="77" t="n">
        <x:f>C$30+C$34</x:f>
        <x:v>4</x:v>
      </x:c>
      <x:c r="D46" s="77" t="n">
        <x:f>D$30+D$34</x:f>
        <x:v>5</x:v>
      </x:c>
      <x:c r="E46" s="77" t="n">
        <x:f>E$30+E$34</x:f>
        <x:v>5</x:v>
      </x:c>
      <x:c r="F46" s="77" t="n">
        <x:f>F$30+F$34</x:f>
        <x:v>5</x:v>
      </x:c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</x:row>
    <x:row r="47">
      <x:c r="A47" s="76" t="str">
        <x:v>W9</x:v>
      </x:c>
      <x:c r="B47" s="77" t="n">
        <x:f>B$30+B$35</x:f>
        <x:v>6</x:v>
      </x:c>
      <x:c r="C47" s="77" t="n">
        <x:f>C$30+C$35</x:f>
        <x:v>5</x:v>
      </x:c>
      <x:c r="D47" s="77" t="n">
        <x:f>D$30+D$35</x:f>
        <x:v>5</x:v>
      </x:c>
      <x:c r="E47" s="77" t="n">
        <x:f>E$30+E$35</x:f>
        <x:v>5</x:v>
      </x:c>
      <x:c r="F47" s="77" t="n">
        <x:f>F$30+F$35</x:f>
        <x:v>6</x:v>
      </x:c>
      <x:c r="G47" s="71"/>
      <x:c r="H47" s="71"/>
      <x:c r="I47" s="71"/>
      <x:c r="J47" s="71"/>
      <x:c r="K47" s="71"/>
      <x:c r="L47" s="71"/>
      <x:c r="M47" s="71"/>
      <x:c r="N47" s="71"/>
      <x:c r="O47" s="71"/>
      <x:c r="P47" s="71"/>
      <x:c r="Q47" s="71"/>
      <x:c r="R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  <x:c r="P48" s="71"/>
      <x:c r="Q48" s="71"/>
      <x:c r="R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  <x:c r="P49" s="71"/>
      <x:c r="Q49" s="71"/>
      <x:c r="R49" s="71"/>
    </x:row>
    <x:row r="50">
      <x:c r="A50" s="73" t="str">
        <x:v>非 WILD 也非各圖案的個數</x:v>
      </x:c>
      <x:c r="B50" s="73" t="str">
        <x:v>非 WILD 也非各圖案的個數</x:v>
      </x:c>
      <x:c r="C50" s="73" t="str">
        <x:v>非 WILD 也非各圖案的個數</x:v>
      </x:c>
      <x:c r="D50" s="73" t="str">
        <x:v>非 WILD 也非各圖案的個數</x:v>
      </x:c>
      <x:c r="E50" s="73" t="str">
        <x:v>非 WILD 也非各圖案的個數</x:v>
      </x:c>
      <x:c r="F50" s="73" t="str">
        <x:v>非 WILD 也非各圖案的個數</x:v>
      </x:c>
      <x:c r="G50" s="71"/>
      <x:c r="H50" s="71"/>
      <x:c r="I50" s="71"/>
      <x:c r="J50" s="71"/>
      <x:c r="K50" s="71"/>
      <x:c r="L50" s="71"/>
      <x:c r="M50" s="71"/>
      <x:c r="N50" s="71"/>
      <x:c r="O50" s="71"/>
      <x:c r="P50" s="71"/>
      <x:c r="Q50" s="71"/>
      <x:c r="R50" s="71"/>
    </x:row>
    <x:row r="51">
      <x:c r="A51" s="74" t="str">
        <x:v>圖案</x:v>
      </x:c>
      <x:c r="B51" s="74" t="str">
        <x:v>轉輪1</x:v>
      </x:c>
      <x:c r="C51" s="74" t="str">
        <x:v>轉輪2</x:v>
      </x:c>
      <x:c r="D51" s="74" t="str">
        <x:v>轉輪3</x:v>
      </x:c>
      <x:c r="E51" s="74" t="str">
        <x:v>轉輪4</x:v>
      </x:c>
      <x:c r="F51" s="74" t="str">
        <x:v>轉輪5</x:v>
      </x:c>
      <x:c r="G51" s="71"/>
      <x:c r="H51" s="71"/>
      <x:c r="I51" s="71"/>
      <x:c r="J51" s="71"/>
      <x:c r="K51" s="71"/>
      <x:c r="L51" s="71"/>
      <x:c r="M51" s="71"/>
      <x:c r="N51" s="71"/>
      <x:c r="O51" s="71"/>
      <x:c r="P51" s="71"/>
      <x:c r="Q51" s="71"/>
      <x:c r="R51" s="71"/>
    </x:row>
    <x:row r="52">
      <x:c r="A52" s="76" t="str">
        <x:v>X_WK</x:v>
      </x:c>
      <x:c r="B52" s="77" t="n">
        <x:f>B$38-B$43</x:f>
        <x:v>18</x:v>
      </x:c>
      <x:c r="C52" s="77" t="n">
        <x:f>C$38-C$43</x:f>
        <x:v>16</x:v>
      </x:c>
      <x:c r="D52" s="77" t="n">
        <x:f>D$38-D$43</x:f>
        <x:v>16</x:v>
      </x:c>
      <x:c r="E52" s="77" t="n">
        <x:f>E$38-E$43</x:f>
        <x:v>16</x:v>
      </x:c>
      <x:c r="F52" s="77" t="n">
        <x:f>F$38-F$43</x:f>
        <x:v>16</x:v>
      </x:c>
      <x:c r="G52" s="71"/>
      <x:c r="H52" s="71"/>
      <x:c r="I52" s="71"/>
      <x:c r="J52" s="71"/>
      <x:c r="K52" s="71"/>
      <x:c r="L52" s="71"/>
      <x:c r="M52" s="71"/>
      <x:c r="N52" s="71"/>
      <x:c r="O52" s="71"/>
      <x:c r="P52" s="71"/>
      <x:c r="Q52" s="71"/>
      <x:c r="R52" s="71"/>
    </x:row>
    <x:row r="53">
      <x:c r="A53" s="76" t="str">
        <x:v>X_WQ</x:v>
      </x:c>
      <x:c r="B53" s="77" t="n">
        <x:f>B$38-B$44</x:f>
        <x:v>17</x:v>
      </x:c>
      <x:c r="C53" s="77" t="n">
        <x:f>C$38-C$44</x:f>
        <x:v>16</x:v>
      </x:c>
      <x:c r="D53" s="77" t="n">
        <x:f>D$38-D$44</x:f>
        <x:v>16</x:v>
      </x:c>
      <x:c r="E53" s="77" t="n">
        <x:f>E$38-E$44</x:f>
        <x:v>16</x:v>
      </x:c>
      <x:c r="F53" s="77" t="n">
        <x:f>F$38-F$44</x:f>
        <x:v>16</x:v>
      </x:c>
      <x:c r="G53" s="71"/>
      <x:c r="H53" s="71"/>
      <x:c r="I53" s="71"/>
      <x:c r="J53" s="71"/>
      <x:c r="K53" s="71"/>
      <x:c r="L53" s="71"/>
      <x:c r="M53" s="71"/>
      <x:c r="N53" s="71"/>
      <x:c r="O53" s="71"/>
      <x:c r="P53" s="71"/>
      <x:c r="Q53" s="71"/>
      <x:c r="R53" s="71"/>
    </x:row>
    <x:row r="54">
      <x:c r="A54" s="76" t="str">
        <x:v>X_WJ</x:v>
      </x:c>
      <x:c r="B54" s="77" t="n">
        <x:f>B$38-B$45</x:f>
        <x:v>16</x:v>
      </x:c>
      <x:c r="C54" s="77" t="n">
        <x:f>C$38-C$45</x:f>
        <x:v>14</x:v>
      </x:c>
      <x:c r="D54" s="77" t="n">
        <x:f>D$38-D$45</x:f>
        <x:v>15</x:v>
      </x:c>
      <x:c r="E54" s="77" t="n">
        <x:f>E$38-E$45</x:f>
        <x:v>15</x:v>
      </x:c>
      <x:c r="F54" s="77" t="n">
        <x:f>F$38-F$45</x:f>
        <x:v>15</x:v>
      </x:c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</x:row>
    <x:row r="55">
      <x:c r="A55" s="76" t="str">
        <x:v>X_W10</x:v>
      </x:c>
      <x:c r="B55" s="77" t="n">
        <x:f>B$38-B$46</x:f>
        <x:v>15</x:v>
      </x:c>
      <x:c r="C55" s="77" t="n">
        <x:f>C$38-C$46</x:f>
        <x:v>16</x:v>
      </x:c>
      <x:c r="D55" s="77" t="n">
        <x:f>D$38-D$46</x:f>
        <x:v>15</x:v>
      </x:c>
      <x:c r="E55" s="77" t="n">
        <x:f>E$38-E$46</x:f>
        <x:v>15</x:v>
      </x:c>
      <x:c r="F55" s="77" t="n">
        <x:f>F$38-F$46</x:f>
        <x:v>15</x:v>
      </x:c>
      <x:c r="G55" s="71"/>
      <x:c r="H55" s="71"/>
      <x:c r="I55" s="71"/>
      <x:c r="J55" s="71"/>
      <x:c r="K55" s="71"/>
      <x:c r="L55" s="71"/>
      <x:c r="M55" s="71"/>
      <x:c r="N55" s="71"/>
      <x:c r="O55" s="71"/>
      <x:c r="P55" s="71"/>
      <x:c r="Q55" s="71"/>
      <x:c r="R55" s="71"/>
    </x:row>
    <x:row r="56">
      <x:c r="A56" s="76" t="str">
        <x:v>X_W9</x:v>
      </x:c>
      <x:c r="B56" s="77" t="n">
        <x:f>B$38-B$47</x:f>
        <x:v>14</x:v>
      </x:c>
      <x:c r="C56" s="77" t="n">
        <x:f>C$38-C$47</x:f>
        <x:v>15</x:v>
      </x:c>
      <x:c r="D56" s="77" t="n">
        <x:f>D$38-D$47</x:f>
        <x:v>15</x:v>
      </x:c>
      <x:c r="E56" s="77" t="n">
        <x:f>E$38-E$47</x:f>
        <x:v>15</x:v>
      </x:c>
      <x:c r="F56" s="77" t="n">
        <x:f>F$38-F$47</x:f>
        <x:v>14</x:v>
      </x:c>
      <x:c r="G56" s="71"/>
      <x:c r="H56" s="71"/>
      <x:c r="I56" s="71"/>
      <x:c r="J56" s="71"/>
      <x:c r="K56" s="71"/>
      <x:c r="L56" s="71"/>
      <x:c r="M56" s="71"/>
      <x:c r="N56" s="71"/>
      <x:c r="O56" s="71"/>
      <x:c r="P56" s="71"/>
      <x:c r="Q56" s="71"/>
      <x:c r="R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  <x:c r="P57" s="71"/>
      <x:c r="Q57" s="71"/>
      <x:c r="R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  <x:c r="P58" s="71"/>
      <x:c r="Q58" s="71"/>
      <x:c r="R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  <x:c r="P59" s="71"/>
      <x:c r="Q59" s="71"/>
      <x:c r="R59" s="71"/>
    </x:row>
  </x:sheetData>
  <x:mergeCells>
    <x:mergeCell ref="A1:J1"/>
    <x:mergeCell ref="A2:J2"/>
    <x:mergeCell ref="A4:F4"/>
    <x:mergeCell ref="H4:K4"/>
    <x:mergeCell ref="M4:N4"/>
    <x:mergeCell ref="A28:F28"/>
    <x:mergeCell ref="A41:F41"/>
    <x:mergeCell ref="A50:F50"/>
    <x:mergeCell ref="H13:N13"/>
  </x:mergeCells>
  <x:pageMargins left="0.7" right="0.7" top="0.75" bottom="0.75" header="0.3" footer="0.3"/>
</x:worksheet>
</file>