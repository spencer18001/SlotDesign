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space\Obsidian\SlotDesign\"/>
    </mc:Choice>
  </mc:AlternateContent>
  <bookViews>
    <workbookView xWindow="0" yWindow="0" windowWidth="21570" windowHeight="11445"/>
  </bookViews>
  <sheets>
    <sheet name="Sticky Wild" sheetId="1" r:id="rId1"/>
    <sheet name="Transition Matrix" sheetId="2" r:id="rId2"/>
    <sheet name="Notes" sheetId="3" r:id="rId3"/>
  </sheets>
  <calcPr calcId="162913"/>
</workbook>
</file>

<file path=xl/calcChain.xml><?xml version="1.0" encoding="utf-8"?>
<calcChain xmlns="http://schemas.openxmlformats.org/spreadsheetml/2006/main">
  <c r="AG35" i="2" l="1"/>
  <c r="A35" i="2"/>
  <c r="AG34" i="2"/>
  <c r="A34" i="2"/>
  <c r="AG33" i="2"/>
  <c r="A33" i="2"/>
  <c r="AG32" i="2"/>
  <c r="A32" i="2"/>
  <c r="AG31" i="2"/>
  <c r="A31" i="2"/>
  <c r="AG30" i="2"/>
  <c r="A30" i="2"/>
  <c r="AG29" i="2"/>
  <c r="A29" i="2"/>
  <c r="AG28" i="2"/>
  <c r="A28" i="2"/>
  <c r="AG27" i="2"/>
  <c r="A27" i="2"/>
  <c r="AG26" i="2"/>
  <c r="A26" i="2"/>
  <c r="AG25" i="2"/>
  <c r="A25" i="2"/>
  <c r="AG24" i="2"/>
  <c r="A24" i="2"/>
  <c r="AG23" i="2"/>
  <c r="A23" i="2"/>
  <c r="AG22" i="2"/>
  <c r="A22" i="2"/>
  <c r="AG21" i="2"/>
  <c r="A21" i="2"/>
  <c r="AG20" i="2"/>
  <c r="A20" i="2"/>
  <c r="AG19" i="2"/>
  <c r="A19" i="2"/>
  <c r="AG18" i="2"/>
  <c r="A18" i="2"/>
  <c r="AG17" i="2"/>
  <c r="A17" i="2"/>
  <c r="AG16" i="2"/>
  <c r="A16" i="2"/>
  <c r="AG15" i="2"/>
  <c r="A15" i="2"/>
  <c r="AG14" i="2"/>
  <c r="A14" i="2"/>
  <c r="AG13" i="2"/>
  <c r="A13" i="2"/>
  <c r="AG12" i="2"/>
  <c r="A12" i="2"/>
  <c r="AG11" i="2"/>
  <c r="A11" i="2"/>
  <c r="AG10" i="2"/>
  <c r="A10" i="2"/>
  <c r="AG9" i="2"/>
  <c r="A9" i="2"/>
  <c r="AG8" i="2"/>
  <c r="A8" i="2"/>
  <c r="AG7" i="2"/>
  <c r="A7" i="2"/>
  <c r="AG6" i="2"/>
  <c r="A6" i="2"/>
  <c r="AG5" i="2"/>
  <c r="A5" i="2"/>
  <c r="AG4" i="2"/>
  <c r="AG37" i="2" s="1"/>
  <c r="A4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F24" i="1"/>
  <c r="F25" i="1" s="1"/>
  <c r="E24" i="1"/>
  <c r="E25" i="1" s="1"/>
  <c r="D24" i="1"/>
  <c r="D25" i="1" s="1"/>
  <c r="C24" i="1"/>
  <c r="C25" i="1" s="1"/>
  <c r="B24" i="1"/>
  <c r="B25" i="1" s="1"/>
  <c r="AD6" i="2" l="1"/>
  <c r="AE5" i="2"/>
  <c r="AD5" i="2"/>
  <c r="AE4" i="2"/>
  <c r="AD13" i="2"/>
  <c r="AE35" i="2"/>
  <c r="AD4" i="2"/>
  <c r="AE7" i="2"/>
  <c r="AD35" i="2"/>
  <c r="AE34" i="2"/>
  <c r="AD10" i="2"/>
  <c r="AD9" i="2"/>
  <c r="AD34" i="2"/>
  <c r="AE33" i="2"/>
  <c r="AE10" i="2"/>
  <c r="AD33" i="2"/>
  <c r="AE32" i="2"/>
  <c r="AE6" i="2"/>
  <c r="AD32" i="2"/>
  <c r="AE31" i="2"/>
  <c r="AD31" i="2"/>
  <c r="AE30" i="2"/>
  <c r="AE15" i="2"/>
  <c r="AD30" i="2"/>
  <c r="AE29" i="2"/>
  <c r="AD29" i="2"/>
  <c r="AE28" i="2"/>
  <c r="AD28" i="2"/>
  <c r="AE27" i="2"/>
  <c r="AD27" i="2"/>
  <c r="AE26" i="2"/>
  <c r="AD26" i="2"/>
  <c r="AE25" i="2"/>
  <c r="AD25" i="2"/>
  <c r="AE24" i="2"/>
  <c r="AE13" i="2"/>
  <c r="AE11" i="2"/>
  <c r="AD24" i="2"/>
  <c r="AE23" i="2"/>
  <c r="AE12" i="2"/>
  <c r="AD23" i="2"/>
  <c r="AE22" i="2"/>
  <c r="AD14" i="2"/>
  <c r="AD22" i="2"/>
  <c r="AE21" i="2"/>
  <c r="AD16" i="2"/>
  <c r="AD8" i="2"/>
  <c r="AD21" i="2"/>
  <c r="AE20" i="2"/>
  <c r="AD12" i="2"/>
  <c r="AD20" i="2"/>
  <c r="AE19" i="2"/>
  <c r="AD11" i="2"/>
  <c r="AE9" i="2"/>
  <c r="AD19" i="2"/>
  <c r="AE18" i="2"/>
  <c r="AD15" i="2"/>
  <c r="AE8" i="2"/>
  <c r="AD18" i="2"/>
  <c r="AE17" i="2"/>
  <c r="AD17" i="2"/>
  <c r="AE16" i="2"/>
  <c r="AE14" i="2"/>
  <c r="AD7" i="2"/>
  <c r="B34" i="2"/>
  <c r="C33" i="2"/>
  <c r="D32" i="2"/>
  <c r="E31" i="2"/>
  <c r="F30" i="2"/>
  <c r="G29" i="2"/>
  <c r="H28" i="2"/>
  <c r="I27" i="2"/>
  <c r="J26" i="2"/>
  <c r="K25" i="2"/>
  <c r="L24" i="2"/>
  <c r="M23" i="2"/>
  <c r="N22" i="2"/>
  <c r="O21" i="2"/>
  <c r="P20" i="2"/>
  <c r="Q19" i="2"/>
  <c r="U35" i="1"/>
  <c r="S32" i="1"/>
  <c r="Q29" i="1"/>
  <c r="O26" i="1"/>
  <c r="W23" i="1"/>
  <c r="U20" i="1"/>
  <c r="S17" i="1"/>
  <c r="Q14" i="1"/>
  <c r="O11" i="1"/>
  <c r="W7" i="1"/>
  <c r="T25" i="1"/>
  <c r="V13" i="1"/>
  <c r="O20" i="1"/>
  <c r="Q7" i="1"/>
  <c r="C25" i="2"/>
  <c r="M15" i="2"/>
  <c r="W34" i="1"/>
  <c r="S13" i="1"/>
  <c r="O13" i="1"/>
  <c r="F9" i="2"/>
  <c r="T18" i="1"/>
  <c r="H6" i="2"/>
  <c r="K34" i="2"/>
  <c r="W11" i="1"/>
  <c r="P33" i="1"/>
  <c r="I33" i="2"/>
  <c r="I28" i="2"/>
  <c r="B33" i="2"/>
  <c r="C32" i="2"/>
  <c r="D31" i="2"/>
  <c r="E30" i="2"/>
  <c r="F29" i="2"/>
  <c r="G28" i="2"/>
  <c r="H27" i="2"/>
  <c r="I26" i="2"/>
  <c r="J25" i="2"/>
  <c r="K24" i="2"/>
  <c r="L23" i="2"/>
  <c r="M22" i="2"/>
  <c r="N21" i="2"/>
  <c r="O20" i="2"/>
  <c r="P19" i="2"/>
  <c r="Q18" i="2"/>
  <c r="T35" i="1"/>
  <c r="R32" i="1"/>
  <c r="P29" i="1"/>
  <c r="N26" i="1"/>
  <c r="V23" i="1"/>
  <c r="T20" i="1"/>
  <c r="R17" i="1"/>
  <c r="P14" i="1"/>
  <c r="N11" i="1"/>
  <c r="V7" i="1"/>
  <c r="T10" i="1"/>
  <c r="U13" i="1"/>
  <c r="R10" i="1"/>
  <c r="E23" i="2"/>
  <c r="O13" i="2"/>
  <c r="Q25" i="1"/>
  <c r="U37" i="1"/>
  <c r="H7" i="2"/>
  <c r="P28" i="2"/>
  <c r="T8" i="1"/>
  <c r="O27" i="2"/>
  <c r="D6" i="2"/>
  <c r="O26" i="2"/>
  <c r="P36" i="1"/>
  <c r="O36" i="1"/>
  <c r="Q22" i="2"/>
  <c r="R26" i="1"/>
  <c r="D33" i="2"/>
  <c r="T17" i="1"/>
  <c r="B32" i="2"/>
  <c r="C31" i="2"/>
  <c r="D30" i="2"/>
  <c r="E29" i="2"/>
  <c r="F28" i="2"/>
  <c r="G27" i="2"/>
  <c r="H26" i="2"/>
  <c r="I25" i="2"/>
  <c r="J24" i="2"/>
  <c r="K23" i="2"/>
  <c r="L22" i="2"/>
  <c r="M21" i="2"/>
  <c r="N20" i="2"/>
  <c r="O19" i="2"/>
  <c r="P18" i="2"/>
  <c r="Q17" i="2"/>
  <c r="S35" i="1"/>
  <c r="Q32" i="1"/>
  <c r="O29" i="1"/>
  <c r="W25" i="1"/>
  <c r="U23" i="1"/>
  <c r="S20" i="1"/>
  <c r="Q17" i="1"/>
  <c r="O14" i="1"/>
  <c r="W10" i="1"/>
  <c r="U7" i="1"/>
  <c r="N17" i="1"/>
  <c r="W16" i="1"/>
  <c r="P7" i="1"/>
  <c r="D24" i="2"/>
  <c r="W19" i="1"/>
  <c r="Q29" i="2"/>
  <c r="J4" i="2"/>
  <c r="C10" i="2"/>
  <c r="M31" i="2"/>
  <c r="N30" i="1"/>
  <c r="W14" i="1"/>
  <c r="R8" i="1"/>
  <c r="J30" i="2"/>
  <c r="K28" i="2"/>
  <c r="J28" i="2"/>
  <c r="G30" i="2"/>
  <c r="B31" i="2"/>
  <c r="C30" i="2"/>
  <c r="D29" i="2"/>
  <c r="E28" i="2"/>
  <c r="F27" i="2"/>
  <c r="G26" i="2"/>
  <c r="H25" i="2"/>
  <c r="I24" i="2"/>
  <c r="J23" i="2"/>
  <c r="K22" i="2"/>
  <c r="L21" i="2"/>
  <c r="M20" i="2"/>
  <c r="N19" i="2"/>
  <c r="O18" i="2"/>
  <c r="P17" i="2"/>
  <c r="Q16" i="2"/>
  <c r="R35" i="1"/>
  <c r="P32" i="1"/>
  <c r="N29" i="1"/>
  <c r="V25" i="1"/>
  <c r="T23" i="1"/>
  <c r="R20" i="1"/>
  <c r="P17" i="1"/>
  <c r="N14" i="1"/>
  <c r="V10" i="1"/>
  <c r="T7" i="1"/>
  <c r="R7" i="1"/>
  <c r="T13" i="1"/>
  <c r="H20" i="2"/>
  <c r="P12" i="2"/>
  <c r="S28" i="1"/>
  <c r="O7" i="1"/>
  <c r="S19" i="1"/>
  <c r="J5" i="2"/>
  <c r="R15" i="1"/>
  <c r="S18" i="1"/>
  <c r="R33" i="1"/>
  <c r="S36" i="1"/>
  <c r="B9" i="2"/>
  <c r="N28" i="2"/>
  <c r="F4" i="2"/>
  <c r="Q24" i="2"/>
  <c r="C6" i="2"/>
  <c r="I31" i="2"/>
  <c r="H31" i="2"/>
  <c r="E33" i="2"/>
  <c r="E32" i="2"/>
  <c r="P26" i="1"/>
  <c r="B30" i="2"/>
  <c r="C29" i="2"/>
  <c r="D28" i="2"/>
  <c r="E27" i="2"/>
  <c r="F26" i="2"/>
  <c r="G25" i="2"/>
  <c r="H24" i="2"/>
  <c r="I23" i="2"/>
  <c r="J22" i="2"/>
  <c r="K21" i="2"/>
  <c r="L20" i="2"/>
  <c r="M19" i="2"/>
  <c r="N18" i="2"/>
  <c r="O17" i="2"/>
  <c r="P16" i="2"/>
  <c r="Q15" i="2"/>
  <c r="Q35" i="1"/>
  <c r="O32" i="1"/>
  <c r="W28" i="1"/>
  <c r="U25" i="1"/>
  <c r="S23" i="1"/>
  <c r="Q20" i="1"/>
  <c r="O17" i="1"/>
  <c r="W13" i="1"/>
  <c r="U10" i="1"/>
  <c r="S7" i="1"/>
  <c r="P20" i="1"/>
  <c r="V16" i="1"/>
  <c r="G21" i="2"/>
  <c r="Q11" i="2"/>
  <c r="Q16" i="1"/>
  <c r="O9" i="1"/>
  <c r="B13" i="2"/>
  <c r="O12" i="1"/>
  <c r="T36" i="1"/>
  <c r="P27" i="2"/>
  <c r="F5" i="2"/>
  <c r="E5" i="2"/>
  <c r="I32" i="2"/>
  <c r="H32" i="2"/>
  <c r="S26" i="1"/>
  <c r="P23" i="2"/>
  <c r="W20" i="1"/>
  <c r="F31" i="2"/>
  <c r="P11" i="1"/>
  <c r="B29" i="2"/>
  <c r="C28" i="2"/>
  <c r="D27" i="2"/>
  <c r="E26" i="2"/>
  <c r="F25" i="2"/>
  <c r="G24" i="2"/>
  <c r="H23" i="2"/>
  <c r="I22" i="2"/>
  <c r="J21" i="2"/>
  <c r="K20" i="2"/>
  <c r="L19" i="2"/>
  <c r="M18" i="2"/>
  <c r="N17" i="2"/>
  <c r="O16" i="2"/>
  <c r="P15" i="2"/>
  <c r="Q14" i="2"/>
  <c r="P35" i="1"/>
  <c r="N32" i="1"/>
  <c r="V28" i="1"/>
  <c r="R23" i="1"/>
  <c r="F22" i="2"/>
  <c r="Q10" i="1"/>
  <c r="W9" i="1"/>
  <c r="D11" i="2"/>
  <c r="O27" i="1"/>
  <c r="G6" i="2"/>
  <c r="H4" i="2"/>
  <c r="L29" i="2"/>
  <c r="O25" i="2"/>
  <c r="W17" i="1"/>
  <c r="P8" i="1"/>
  <c r="G31" i="2"/>
  <c r="M24" i="2"/>
  <c r="B28" i="2"/>
  <c r="C27" i="2"/>
  <c r="D26" i="2"/>
  <c r="E25" i="2"/>
  <c r="F24" i="2"/>
  <c r="G23" i="2"/>
  <c r="H22" i="2"/>
  <c r="I21" i="2"/>
  <c r="J20" i="2"/>
  <c r="K19" i="2"/>
  <c r="L18" i="2"/>
  <c r="M17" i="2"/>
  <c r="N16" i="2"/>
  <c r="O15" i="2"/>
  <c r="P14" i="2"/>
  <c r="Q13" i="2"/>
  <c r="O35" i="1"/>
  <c r="W31" i="1"/>
  <c r="U28" i="1"/>
  <c r="S25" i="1"/>
  <c r="Q23" i="1"/>
  <c r="S10" i="1"/>
  <c r="J18" i="2"/>
  <c r="U16" i="1"/>
  <c r="C12" i="2"/>
  <c r="D10" i="2"/>
  <c r="R24" i="1"/>
  <c r="G5" i="2"/>
  <c r="O15" i="1"/>
  <c r="M30" i="2"/>
  <c r="R36" i="1"/>
  <c r="W29" i="1"/>
  <c r="V14" i="1"/>
  <c r="B27" i="2"/>
  <c r="C26" i="2"/>
  <c r="D25" i="2"/>
  <c r="E24" i="2"/>
  <c r="F23" i="2"/>
  <c r="G22" i="2"/>
  <c r="H21" i="2"/>
  <c r="I20" i="2"/>
  <c r="J19" i="2"/>
  <c r="K18" i="2"/>
  <c r="L17" i="2"/>
  <c r="M16" i="2"/>
  <c r="N15" i="2"/>
  <c r="O14" i="2"/>
  <c r="P13" i="2"/>
  <c r="Q12" i="2"/>
  <c r="N35" i="1"/>
  <c r="V31" i="1"/>
  <c r="T28" i="1"/>
  <c r="R25" i="1"/>
  <c r="P23" i="1"/>
  <c r="N20" i="1"/>
  <c r="K17" i="2"/>
  <c r="O23" i="1"/>
  <c r="U22" i="1"/>
  <c r="E10" i="2"/>
  <c r="S33" i="1"/>
  <c r="H5" i="2"/>
  <c r="P24" i="1"/>
  <c r="J32" i="2"/>
  <c r="N24" i="1"/>
  <c r="B26" i="2"/>
  <c r="I19" i="2"/>
  <c r="L16" i="2"/>
  <c r="N14" i="2"/>
  <c r="U31" i="1"/>
  <c r="S15" i="1"/>
  <c r="I6" i="2"/>
  <c r="P12" i="1"/>
  <c r="Q15" i="1"/>
  <c r="N30" i="2"/>
  <c r="D8" i="2"/>
  <c r="J33" i="2"/>
  <c r="E35" i="2"/>
  <c r="B25" i="2"/>
  <c r="C24" i="2"/>
  <c r="D23" i="2"/>
  <c r="E22" i="2"/>
  <c r="F21" i="2"/>
  <c r="G20" i="2"/>
  <c r="H19" i="2"/>
  <c r="I18" i="2"/>
  <c r="J17" i="2"/>
  <c r="K16" i="2"/>
  <c r="L15" i="2"/>
  <c r="M14" i="2"/>
  <c r="N13" i="2"/>
  <c r="O12" i="2"/>
  <c r="P11" i="2"/>
  <c r="Q10" i="2"/>
  <c r="V34" i="1"/>
  <c r="T31" i="1"/>
  <c r="R28" i="1"/>
  <c r="P25" i="1"/>
  <c r="N23" i="1"/>
  <c r="V19" i="1"/>
  <c r="T16" i="1"/>
  <c r="R13" i="1"/>
  <c r="P10" i="1"/>
  <c r="N7" i="1"/>
  <c r="E19" i="2"/>
  <c r="U6" i="1"/>
  <c r="N12" i="1"/>
  <c r="I35" i="2"/>
  <c r="F6" i="2"/>
  <c r="R21" i="1"/>
  <c r="O18" i="1"/>
  <c r="N26" i="2"/>
  <c r="O24" i="2"/>
  <c r="V17" i="1"/>
  <c r="O8" i="1"/>
  <c r="O22" i="2"/>
  <c r="R14" i="1"/>
  <c r="B24" i="2"/>
  <c r="C23" i="2"/>
  <c r="D22" i="2"/>
  <c r="E21" i="2"/>
  <c r="F20" i="2"/>
  <c r="G19" i="2"/>
  <c r="H18" i="2"/>
  <c r="I17" i="2"/>
  <c r="J16" i="2"/>
  <c r="K15" i="2"/>
  <c r="L14" i="2"/>
  <c r="M13" i="2"/>
  <c r="N12" i="2"/>
  <c r="O11" i="2"/>
  <c r="P10" i="2"/>
  <c r="Q9" i="2"/>
  <c r="W37" i="1"/>
  <c r="U34" i="1"/>
  <c r="S31" i="1"/>
  <c r="Q28" i="1"/>
  <c r="O25" i="1"/>
  <c r="W22" i="1"/>
  <c r="U19" i="1"/>
  <c r="S16" i="1"/>
  <c r="Q13" i="1"/>
  <c r="O10" i="1"/>
  <c r="W6" i="1"/>
  <c r="N10" i="1"/>
  <c r="F18" i="2"/>
  <c r="Q7" i="2"/>
  <c r="O28" i="1"/>
  <c r="R30" i="1"/>
  <c r="Q28" i="2"/>
  <c r="P15" i="1"/>
  <c r="O28" i="2"/>
  <c r="V26" i="1"/>
  <c r="M28" i="2"/>
  <c r="D5" i="2"/>
  <c r="D4" i="2"/>
  <c r="N25" i="2"/>
  <c r="V32" i="1"/>
  <c r="O23" i="2"/>
  <c r="U32" i="1"/>
  <c r="B23" i="2"/>
  <c r="C22" i="2"/>
  <c r="D21" i="2"/>
  <c r="E20" i="2"/>
  <c r="F19" i="2"/>
  <c r="G18" i="2"/>
  <c r="H17" i="2"/>
  <c r="I16" i="2"/>
  <c r="J15" i="2"/>
  <c r="K14" i="2"/>
  <c r="L13" i="2"/>
  <c r="M12" i="2"/>
  <c r="N11" i="2"/>
  <c r="O10" i="2"/>
  <c r="P9" i="2"/>
  <c r="Q8" i="2"/>
  <c r="V37" i="1"/>
  <c r="T34" i="1"/>
  <c r="R31" i="1"/>
  <c r="P28" i="1"/>
  <c r="N25" i="1"/>
  <c r="V22" i="1"/>
  <c r="T19" i="1"/>
  <c r="R16" i="1"/>
  <c r="P13" i="1"/>
  <c r="V6" i="1"/>
  <c r="G17" i="2"/>
  <c r="O9" i="2"/>
  <c r="S34" i="1"/>
  <c r="P27" i="1"/>
  <c r="C11" i="2"/>
  <c r="M32" i="2"/>
  <c r="I4" i="2"/>
  <c r="G4" i="2"/>
  <c r="K31" i="2"/>
  <c r="Q36" i="1"/>
  <c r="T11" i="1"/>
  <c r="S11" i="1"/>
  <c r="N24" i="2"/>
  <c r="B22" i="2"/>
  <c r="C21" i="2"/>
  <c r="D20" i="2"/>
  <c r="H16" i="2"/>
  <c r="I15" i="2"/>
  <c r="J14" i="2"/>
  <c r="K13" i="2"/>
  <c r="L12" i="2"/>
  <c r="M11" i="2"/>
  <c r="N10" i="2"/>
  <c r="P8" i="2"/>
  <c r="Q31" i="1"/>
  <c r="F8" i="2"/>
  <c r="L33" i="2"/>
  <c r="T21" i="1"/>
  <c r="B10" i="2"/>
  <c r="L31" i="2"/>
  <c r="U26" i="1"/>
  <c r="P21" i="1"/>
  <c r="O21" i="1"/>
  <c r="M26" i="2"/>
  <c r="T14" i="1"/>
  <c r="S14" i="1"/>
  <c r="N23" i="2"/>
  <c r="V35" i="1"/>
  <c r="B21" i="2"/>
  <c r="C20" i="2"/>
  <c r="D19" i="2"/>
  <c r="E18" i="2"/>
  <c r="F17" i="2"/>
  <c r="G16" i="2"/>
  <c r="H15" i="2"/>
  <c r="I14" i="2"/>
  <c r="J13" i="2"/>
  <c r="K12" i="2"/>
  <c r="L11" i="2"/>
  <c r="M10" i="2"/>
  <c r="N9" i="2"/>
  <c r="O8" i="2"/>
  <c r="P7" i="2"/>
  <c r="Q6" i="2"/>
  <c r="T37" i="1"/>
  <c r="R34" i="1"/>
  <c r="P31" i="1"/>
  <c r="N28" i="1"/>
  <c r="T22" i="1"/>
  <c r="R19" i="1"/>
  <c r="P16" i="1"/>
  <c r="N13" i="1"/>
  <c r="V9" i="1"/>
  <c r="T6" i="1"/>
  <c r="O34" i="1"/>
  <c r="O19" i="1"/>
  <c r="P37" i="1"/>
  <c r="V15" i="1"/>
  <c r="R27" i="1"/>
  <c r="P9" i="1"/>
  <c r="C13" i="2"/>
  <c r="H8" i="2"/>
  <c r="K5" i="2"/>
  <c r="V21" i="1"/>
  <c r="E8" i="2"/>
  <c r="L32" i="2"/>
  <c r="Q33" i="1"/>
  <c r="I34" i="2"/>
  <c r="M29" i="2"/>
  <c r="F35" i="2"/>
  <c r="B7" i="2"/>
  <c r="G33" i="2"/>
  <c r="C5" i="2"/>
  <c r="E34" i="2"/>
  <c r="F32" i="2"/>
  <c r="U17" i="1"/>
  <c r="C34" i="2"/>
  <c r="B20" i="2"/>
  <c r="C19" i="2"/>
  <c r="D18" i="2"/>
  <c r="E17" i="2"/>
  <c r="F16" i="2"/>
  <c r="G15" i="2"/>
  <c r="H14" i="2"/>
  <c r="I13" i="2"/>
  <c r="J12" i="2"/>
  <c r="K11" i="2"/>
  <c r="L10" i="2"/>
  <c r="M9" i="2"/>
  <c r="N8" i="2"/>
  <c r="O7" i="2"/>
  <c r="P6" i="2"/>
  <c r="Q5" i="2"/>
  <c r="S37" i="1"/>
  <c r="Q34" i="1"/>
  <c r="O31" i="1"/>
  <c r="W27" i="1"/>
  <c r="S22" i="1"/>
  <c r="Q19" i="1"/>
  <c r="O16" i="1"/>
  <c r="W12" i="1"/>
  <c r="U9" i="1"/>
  <c r="S6" i="1"/>
  <c r="U27" i="1"/>
  <c r="U12" i="1"/>
  <c r="T27" i="1"/>
  <c r="P22" i="1"/>
  <c r="R9" i="1"/>
  <c r="U24" i="1"/>
  <c r="T15" i="1"/>
  <c r="E11" i="2"/>
  <c r="L4" i="2"/>
  <c r="T24" i="1"/>
  <c r="G7" i="2"/>
  <c r="J35" i="2"/>
  <c r="N27" i="1"/>
  <c r="Q27" i="2"/>
  <c r="C9" i="2"/>
  <c r="U8" i="1"/>
  <c r="K32" i="2"/>
  <c r="H34" i="2"/>
  <c r="C7" i="2"/>
  <c r="S8" i="1"/>
  <c r="H33" i="2"/>
  <c r="Q23" i="2"/>
  <c r="B6" i="2"/>
  <c r="F33" i="2"/>
  <c r="B5" i="2"/>
  <c r="C35" i="2"/>
  <c r="B19" i="2"/>
  <c r="C18" i="2"/>
  <c r="D17" i="2"/>
  <c r="E16" i="2"/>
  <c r="F15" i="2"/>
  <c r="G14" i="2"/>
  <c r="H13" i="2"/>
  <c r="I12" i="2"/>
  <c r="J11" i="2"/>
  <c r="K10" i="2"/>
  <c r="L9" i="2"/>
  <c r="M8" i="2"/>
  <c r="N7" i="2"/>
  <c r="O6" i="2"/>
  <c r="P5" i="2"/>
  <c r="Q4" i="2"/>
  <c r="R37" i="1"/>
  <c r="P34" i="1"/>
  <c r="N31" i="1"/>
  <c r="V27" i="1"/>
  <c r="R22" i="1"/>
  <c r="P19" i="1"/>
  <c r="N16" i="1"/>
  <c r="V12" i="1"/>
  <c r="T9" i="1"/>
  <c r="R6" i="1"/>
  <c r="W15" i="1"/>
  <c r="Q6" i="1"/>
  <c r="N34" i="1"/>
  <c r="N19" i="1"/>
  <c r="P6" i="1"/>
  <c r="N22" i="1"/>
  <c r="R12" i="1"/>
  <c r="B14" i="2"/>
  <c r="I7" i="2"/>
  <c r="U33" i="1"/>
  <c r="U18" i="1"/>
  <c r="V36" i="1"/>
  <c r="I5" i="2"/>
  <c r="N31" i="2"/>
  <c r="B11" i="2"/>
  <c r="K33" i="2"/>
  <c r="D7" i="2"/>
  <c r="G35" i="2"/>
  <c r="B8" i="2"/>
  <c r="G34" i="2"/>
  <c r="V29" i="1"/>
  <c r="K29" i="2"/>
  <c r="G32" i="2"/>
  <c r="Q21" i="2"/>
  <c r="B35" i="2"/>
  <c r="V20" i="1"/>
  <c r="Q35" i="2"/>
  <c r="B18" i="2"/>
  <c r="C17" i="2"/>
  <c r="D16" i="2"/>
  <c r="E15" i="2"/>
  <c r="F14" i="2"/>
  <c r="G13" i="2"/>
  <c r="H12" i="2"/>
  <c r="I11" i="2"/>
  <c r="J10" i="2"/>
  <c r="K9" i="2"/>
  <c r="L8" i="2"/>
  <c r="M7" i="2"/>
  <c r="N6" i="2"/>
  <c r="O5" i="2"/>
  <c r="P4" i="2"/>
  <c r="Q37" i="1"/>
  <c r="W30" i="1"/>
  <c r="Q22" i="1"/>
  <c r="S9" i="1"/>
  <c r="W24" i="1"/>
  <c r="T12" i="1"/>
  <c r="T30" i="1"/>
  <c r="V18" i="1"/>
  <c r="D12" i="2"/>
  <c r="J6" i="2"/>
  <c r="Q27" i="1"/>
  <c r="K4" i="2"/>
  <c r="O30" i="2"/>
  <c r="F7" i="2"/>
  <c r="W26" i="1"/>
  <c r="V11" i="1"/>
  <c r="J31" i="2"/>
  <c r="W32" i="1"/>
  <c r="D34" i="2"/>
  <c r="L25" i="2"/>
  <c r="P35" i="2"/>
  <c r="Q34" i="2"/>
  <c r="B17" i="2"/>
  <c r="C16" i="2"/>
  <c r="D15" i="2"/>
  <c r="E14" i="2"/>
  <c r="F13" i="2"/>
  <c r="G12" i="2"/>
  <c r="H11" i="2"/>
  <c r="I10" i="2"/>
  <c r="J9" i="2"/>
  <c r="K8" i="2"/>
  <c r="L7" i="2"/>
  <c r="M6" i="2"/>
  <c r="N5" i="2"/>
  <c r="O4" i="2"/>
  <c r="V30" i="1"/>
  <c r="O29" i="2"/>
  <c r="H35" i="2"/>
  <c r="U11" i="1"/>
  <c r="N27" i="2"/>
  <c r="N33" i="1"/>
  <c r="N21" i="1"/>
  <c r="H30" i="2"/>
  <c r="B4" i="2"/>
  <c r="K26" i="2"/>
  <c r="O35" i="2"/>
  <c r="P34" i="2"/>
  <c r="Q33" i="2"/>
  <c r="B16" i="2"/>
  <c r="C15" i="2"/>
  <c r="D14" i="2"/>
  <c r="E13" i="2"/>
  <c r="F12" i="2"/>
  <c r="G11" i="2"/>
  <c r="H10" i="2"/>
  <c r="I9" i="2"/>
  <c r="J8" i="2"/>
  <c r="K7" i="2"/>
  <c r="L6" i="2"/>
  <c r="M5" i="2"/>
  <c r="N4" i="2"/>
  <c r="O37" i="1"/>
  <c r="W33" i="1"/>
  <c r="U30" i="1"/>
  <c r="S27" i="1"/>
  <c r="V24" i="1"/>
  <c r="O22" i="1"/>
  <c r="W18" i="1"/>
  <c r="U15" i="1"/>
  <c r="S12" i="1"/>
  <c r="Q9" i="1"/>
  <c r="O6" i="1"/>
  <c r="N37" i="1"/>
  <c r="N6" i="1"/>
  <c r="G9" i="2"/>
  <c r="W36" i="1"/>
  <c r="G8" i="2"/>
  <c r="N9" i="1"/>
  <c r="B12" i="2"/>
  <c r="W8" i="1"/>
  <c r="P30" i="1"/>
  <c r="O30" i="1"/>
  <c r="E6" i="2"/>
  <c r="L30" i="2"/>
  <c r="F34" i="2"/>
  <c r="J29" i="2"/>
  <c r="C4" i="2"/>
  <c r="P22" i="2"/>
  <c r="R29" i="1"/>
  <c r="N35" i="2"/>
  <c r="O34" i="2"/>
  <c r="P33" i="2"/>
  <c r="Q32" i="2"/>
  <c r="B15" i="2"/>
  <c r="C14" i="2"/>
  <c r="D13" i="2"/>
  <c r="E12" i="2"/>
  <c r="F11" i="2"/>
  <c r="G10" i="2"/>
  <c r="H9" i="2"/>
  <c r="I8" i="2"/>
  <c r="J7" i="2"/>
  <c r="K6" i="2"/>
  <c r="L5" i="2"/>
  <c r="M4" i="2"/>
  <c r="V33" i="1"/>
  <c r="F10" i="2"/>
  <c r="S30" i="1"/>
  <c r="Q12" i="1"/>
  <c r="T33" i="1"/>
  <c r="U21" i="1"/>
  <c r="D9" i="2"/>
  <c r="J34" i="2"/>
  <c r="E7" i="2"/>
  <c r="Q26" i="2"/>
  <c r="C8" i="2"/>
  <c r="Q25" i="2"/>
  <c r="P25" i="2"/>
  <c r="U29" i="1"/>
  <c r="L27" i="2"/>
  <c r="I29" i="2"/>
  <c r="J27" i="2"/>
  <c r="N8" i="1"/>
  <c r="M35" i="2"/>
  <c r="N34" i="2"/>
  <c r="O33" i="2"/>
  <c r="P32" i="2"/>
  <c r="Q31" i="2"/>
  <c r="W21" i="1"/>
  <c r="P29" i="2"/>
  <c r="R18" i="1"/>
  <c r="N29" i="2"/>
  <c r="N15" i="1"/>
  <c r="K30" i="2"/>
  <c r="E4" i="2"/>
  <c r="M27" i="2"/>
  <c r="Q8" i="1"/>
  <c r="K27" i="2"/>
  <c r="S29" i="1"/>
  <c r="L35" i="2"/>
  <c r="M34" i="2"/>
  <c r="N33" i="2"/>
  <c r="O32" i="2"/>
  <c r="P31" i="2"/>
  <c r="Q30" i="2"/>
  <c r="S24" i="1"/>
  <c r="Q30" i="1"/>
  <c r="Q24" i="1"/>
  <c r="Q18" i="1"/>
  <c r="P18" i="1"/>
  <c r="P26" i="2"/>
  <c r="Q21" i="1"/>
  <c r="T26" i="1"/>
  <c r="P24" i="2"/>
  <c r="U14" i="1"/>
  <c r="R11" i="1"/>
  <c r="M25" i="2"/>
  <c r="W35" i="1"/>
  <c r="Q20" i="2"/>
  <c r="K35" i="2"/>
  <c r="L34" i="2"/>
  <c r="M33" i="2"/>
  <c r="N32" i="2"/>
  <c r="O31" i="2"/>
  <c r="P30" i="2"/>
  <c r="E9" i="2"/>
  <c r="U36" i="1"/>
  <c r="V8" i="1"/>
  <c r="S21" i="1"/>
  <c r="O24" i="1"/>
  <c r="O33" i="1"/>
  <c r="N18" i="1"/>
  <c r="I30" i="2"/>
  <c r="T29" i="1"/>
  <c r="Q11" i="1"/>
  <c r="P21" i="2"/>
  <c r="T32" i="1"/>
  <c r="D35" i="2"/>
  <c r="N36" i="1"/>
  <c r="H29" i="2"/>
  <c r="L28" i="2"/>
  <c r="L26" i="2"/>
  <c r="Q26" i="1"/>
  <c r="R18" i="2"/>
  <c r="S17" i="2"/>
  <c r="T16" i="2"/>
  <c r="U15" i="2"/>
  <c r="V14" i="2"/>
  <c r="W13" i="2"/>
  <c r="X12" i="2"/>
  <c r="Y11" i="2"/>
  <c r="T8" i="2"/>
  <c r="T4" i="2"/>
  <c r="V22" i="2"/>
  <c r="Y18" i="2"/>
  <c r="Y13" i="2"/>
  <c r="R17" i="2"/>
  <c r="S16" i="2"/>
  <c r="T15" i="2"/>
  <c r="U14" i="2"/>
  <c r="V13" i="2"/>
  <c r="W12" i="2"/>
  <c r="X11" i="2"/>
  <c r="Y10" i="2"/>
  <c r="X4" i="2"/>
  <c r="V24" i="2"/>
  <c r="V23" i="2"/>
  <c r="T20" i="2"/>
  <c r="R20" i="2"/>
  <c r="W14" i="2"/>
  <c r="R16" i="2"/>
  <c r="S15" i="2"/>
  <c r="T14" i="2"/>
  <c r="U13" i="2"/>
  <c r="V12" i="2"/>
  <c r="W11" i="2"/>
  <c r="X10" i="2"/>
  <c r="Y9" i="2"/>
  <c r="S9" i="2"/>
  <c r="T25" i="2"/>
  <c r="R25" i="2"/>
  <c r="T22" i="2"/>
  <c r="V19" i="2"/>
  <c r="U16" i="2"/>
  <c r="R15" i="2"/>
  <c r="S14" i="2"/>
  <c r="T13" i="2"/>
  <c r="U12" i="2"/>
  <c r="V11" i="2"/>
  <c r="W10" i="2"/>
  <c r="X9" i="2"/>
  <c r="Y8" i="2"/>
  <c r="W5" i="2"/>
  <c r="T24" i="2"/>
  <c r="T23" i="2"/>
  <c r="V15" i="2"/>
  <c r="R14" i="2"/>
  <c r="S13" i="2"/>
  <c r="T12" i="2"/>
  <c r="U11" i="2"/>
  <c r="V10" i="2"/>
  <c r="W9" i="2"/>
  <c r="X8" i="2"/>
  <c r="Y7" i="2"/>
  <c r="W23" i="2"/>
  <c r="U23" i="2"/>
  <c r="R24" i="2"/>
  <c r="W15" i="2"/>
  <c r="Y12" i="2"/>
  <c r="R13" i="2"/>
  <c r="S12" i="2"/>
  <c r="T11" i="2"/>
  <c r="U10" i="2"/>
  <c r="V9" i="2"/>
  <c r="W8" i="2"/>
  <c r="X7" i="2"/>
  <c r="Y6" i="2"/>
  <c r="X21" i="2"/>
  <c r="R26" i="2"/>
  <c r="U22" i="2"/>
  <c r="R12" i="2"/>
  <c r="S11" i="2"/>
  <c r="T10" i="2"/>
  <c r="U9" i="2"/>
  <c r="V8" i="2"/>
  <c r="W7" i="2"/>
  <c r="X6" i="2"/>
  <c r="Y5" i="2"/>
  <c r="V6" i="2"/>
  <c r="R27" i="2"/>
  <c r="Y17" i="2"/>
  <c r="S22" i="2"/>
  <c r="Y15" i="2"/>
  <c r="R11" i="2"/>
  <c r="S10" i="2"/>
  <c r="T9" i="2"/>
  <c r="U8" i="2"/>
  <c r="V7" i="2"/>
  <c r="W6" i="2"/>
  <c r="X5" i="2"/>
  <c r="Y4" i="2"/>
  <c r="U7" i="2"/>
  <c r="Y20" i="2"/>
  <c r="S25" i="2"/>
  <c r="Y16" i="2"/>
  <c r="Y35" i="2"/>
  <c r="R10" i="2"/>
  <c r="X22" i="2"/>
  <c r="S23" i="2"/>
  <c r="X16" i="2"/>
  <c r="S20" i="2"/>
  <c r="X35" i="2"/>
  <c r="Y34" i="2"/>
  <c r="R9" i="2"/>
  <c r="S8" i="2"/>
  <c r="T7" i="2"/>
  <c r="U6" i="2"/>
  <c r="V5" i="2"/>
  <c r="W4" i="2"/>
  <c r="S5" i="2"/>
  <c r="R28" i="2"/>
  <c r="W20" i="2"/>
  <c r="W19" i="2"/>
  <c r="R23" i="2"/>
  <c r="T18" i="2"/>
  <c r="W35" i="2"/>
  <c r="X34" i="2"/>
  <c r="Y33" i="2"/>
  <c r="R8" i="2"/>
  <c r="S7" i="2"/>
  <c r="T6" i="2"/>
  <c r="U5" i="2"/>
  <c r="V4" i="2"/>
  <c r="V18" i="2"/>
  <c r="R19" i="2"/>
  <c r="V35" i="2"/>
  <c r="W34" i="2"/>
  <c r="X33" i="2"/>
  <c r="Y32" i="2"/>
  <c r="R7" i="2"/>
  <c r="S6" i="2"/>
  <c r="T5" i="2"/>
  <c r="U4" i="2"/>
  <c r="W21" i="2"/>
  <c r="V21" i="2"/>
  <c r="U19" i="2"/>
  <c r="U18" i="2"/>
  <c r="U35" i="2"/>
  <c r="V34" i="2"/>
  <c r="W33" i="2"/>
  <c r="X32" i="2"/>
  <c r="Y31" i="2"/>
  <c r="R6" i="2"/>
  <c r="V20" i="2"/>
  <c r="U20" i="2"/>
  <c r="W17" i="2"/>
  <c r="S19" i="2"/>
  <c r="T35" i="2"/>
  <c r="U34" i="2"/>
  <c r="V33" i="2"/>
  <c r="W32" i="2"/>
  <c r="X31" i="2"/>
  <c r="Y30" i="2"/>
  <c r="R5" i="2"/>
  <c r="S4" i="2"/>
  <c r="T26" i="2"/>
  <c r="S26" i="2"/>
  <c r="W16" i="2"/>
  <c r="X14" i="2"/>
  <c r="T17" i="2"/>
  <c r="S35" i="2"/>
  <c r="T34" i="2"/>
  <c r="U33" i="2"/>
  <c r="V32" i="2"/>
  <c r="W31" i="2"/>
  <c r="X30" i="2"/>
  <c r="Y29" i="2"/>
  <c r="R4" i="2"/>
  <c r="X15" i="2"/>
  <c r="V16" i="2"/>
  <c r="R35" i="2"/>
  <c r="S34" i="2"/>
  <c r="T33" i="2"/>
  <c r="U32" i="2"/>
  <c r="V31" i="2"/>
  <c r="W30" i="2"/>
  <c r="X29" i="2"/>
  <c r="Y28" i="2"/>
  <c r="U25" i="2"/>
  <c r="Y14" i="2"/>
  <c r="X13" i="2"/>
  <c r="R34" i="2"/>
  <c r="S33" i="2"/>
  <c r="T32" i="2"/>
  <c r="U31" i="2"/>
  <c r="V30" i="2"/>
  <c r="W29" i="2"/>
  <c r="X28" i="2"/>
  <c r="Y27" i="2"/>
  <c r="X19" i="2"/>
  <c r="U21" i="2"/>
  <c r="R22" i="2"/>
  <c r="R33" i="2"/>
  <c r="S32" i="2"/>
  <c r="T31" i="2"/>
  <c r="U30" i="2"/>
  <c r="V29" i="2"/>
  <c r="W28" i="2"/>
  <c r="X27" i="2"/>
  <c r="Y26" i="2"/>
  <c r="S21" i="2"/>
  <c r="R32" i="2"/>
  <c r="S31" i="2"/>
  <c r="T30" i="2"/>
  <c r="U29" i="2"/>
  <c r="V28" i="2"/>
  <c r="W27" i="2"/>
  <c r="X26" i="2"/>
  <c r="Y25" i="2"/>
  <c r="U24" i="2"/>
  <c r="Y19" i="2"/>
  <c r="S24" i="2"/>
  <c r="S18" i="2"/>
  <c r="R31" i="2"/>
  <c r="S30" i="2"/>
  <c r="T29" i="2"/>
  <c r="U28" i="2"/>
  <c r="V27" i="2"/>
  <c r="W26" i="2"/>
  <c r="X25" i="2"/>
  <c r="Y24" i="2"/>
  <c r="Y21" i="2"/>
  <c r="R30" i="2"/>
  <c r="S29" i="2"/>
  <c r="T28" i="2"/>
  <c r="U27" i="2"/>
  <c r="V26" i="2"/>
  <c r="W25" i="2"/>
  <c r="X24" i="2"/>
  <c r="Y23" i="2"/>
  <c r="V17" i="2"/>
  <c r="R29" i="2"/>
  <c r="S28" i="2"/>
  <c r="T27" i="2"/>
  <c r="U26" i="2"/>
  <c r="V25" i="2"/>
  <c r="W24" i="2"/>
  <c r="X23" i="2"/>
  <c r="Y22" i="2"/>
  <c r="W22" i="2"/>
  <c r="X17" i="2"/>
  <c r="S27" i="2"/>
  <c r="X20" i="2"/>
  <c r="X18" i="2"/>
  <c r="T21" i="2"/>
  <c r="U17" i="2"/>
  <c r="T19" i="2"/>
  <c r="W18" i="2"/>
  <c r="R21" i="2"/>
  <c r="Z10" i="2"/>
  <c r="AA9" i="2"/>
  <c r="AB8" i="2"/>
  <c r="AC7" i="2"/>
  <c r="AA19" i="2"/>
  <c r="Z19" i="2"/>
  <c r="AC8" i="2"/>
  <c r="Z9" i="2"/>
  <c r="AA8" i="2"/>
  <c r="AB7" i="2"/>
  <c r="AC6" i="2"/>
  <c r="Z8" i="2"/>
  <c r="AA7" i="2"/>
  <c r="AB6" i="2"/>
  <c r="AC5" i="2"/>
  <c r="Z7" i="2"/>
  <c r="AA6" i="2"/>
  <c r="AB5" i="2"/>
  <c r="AC4" i="2"/>
  <c r="Z20" i="2"/>
  <c r="AC16" i="2"/>
  <c r="AA11" i="2"/>
  <c r="AC35" i="2"/>
  <c r="Z6" i="2"/>
  <c r="AA5" i="2"/>
  <c r="AB4" i="2"/>
  <c r="AA18" i="2"/>
  <c r="AB12" i="2"/>
  <c r="AB35" i="2"/>
  <c r="AC34" i="2"/>
  <c r="Z5" i="2"/>
  <c r="AA4" i="2"/>
  <c r="AA12" i="2"/>
  <c r="AA35" i="2"/>
  <c r="AB34" i="2"/>
  <c r="AC33" i="2"/>
  <c r="Z4" i="2"/>
  <c r="Z35" i="2"/>
  <c r="AA34" i="2"/>
  <c r="AB33" i="2"/>
  <c r="AC32" i="2"/>
  <c r="AC14" i="2"/>
  <c r="Z34" i="2"/>
  <c r="AA33" i="2"/>
  <c r="AB32" i="2"/>
  <c r="AC31" i="2"/>
  <c r="AB17" i="2"/>
  <c r="Z33" i="2"/>
  <c r="AA32" i="2"/>
  <c r="AB31" i="2"/>
  <c r="AC30" i="2"/>
  <c r="Z32" i="2"/>
  <c r="AA31" i="2"/>
  <c r="AB30" i="2"/>
  <c r="AC29" i="2"/>
  <c r="AC17" i="2"/>
  <c r="AB16" i="2"/>
  <c r="Z16" i="2"/>
  <c r="Z31" i="2"/>
  <c r="AA30" i="2"/>
  <c r="AB29" i="2"/>
  <c r="AC28" i="2"/>
  <c r="Z15" i="2"/>
  <c r="AB9" i="2"/>
  <c r="Z30" i="2"/>
  <c r="AA29" i="2"/>
  <c r="AB28" i="2"/>
  <c r="AC27" i="2"/>
  <c r="Z29" i="2"/>
  <c r="AA28" i="2"/>
  <c r="AB27" i="2"/>
  <c r="AC26" i="2"/>
  <c r="AB13" i="2"/>
  <c r="AA13" i="2"/>
  <c r="Z28" i="2"/>
  <c r="AA27" i="2"/>
  <c r="AB26" i="2"/>
  <c r="AC25" i="2"/>
  <c r="AB14" i="2"/>
  <c r="AA14" i="2"/>
  <c r="AB10" i="2"/>
  <c r="Z27" i="2"/>
  <c r="AA26" i="2"/>
  <c r="AB25" i="2"/>
  <c r="AC24" i="2"/>
  <c r="Z17" i="2"/>
  <c r="AA15" i="2"/>
  <c r="AC12" i="2"/>
  <c r="AC9" i="2"/>
  <c r="Z26" i="2"/>
  <c r="AA25" i="2"/>
  <c r="AB24" i="2"/>
  <c r="AC23" i="2"/>
  <c r="Z18" i="2"/>
  <c r="AB11" i="2"/>
  <c r="Z25" i="2"/>
  <c r="AA24" i="2"/>
  <c r="AB23" i="2"/>
  <c r="AC22" i="2"/>
  <c r="AC10" i="2"/>
  <c r="AA10" i="2"/>
  <c r="Z24" i="2"/>
  <c r="AA23" i="2"/>
  <c r="AB22" i="2"/>
  <c r="AC21" i="2"/>
  <c r="Z23" i="2"/>
  <c r="AA22" i="2"/>
  <c r="AB21" i="2"/>
  <c r="AC20" i="2"/>
  <c r="Z14" i="2"/>
  <c r="Z11" i="2"/>
  <c r="Z22" i="2"/>
  <c r="AA21" i="2"/>
  <c r="AB20" i="2"/>
  <c r="AC19" i="2"/>
  <c r="AC15" i="2"/>
  <c r="AC13" i="2"/>
  <c r="Z21" i="2"/>
  <c r="AA20" i="2"/>
  <c r="AB19" i="2"/>
  <c r="AC18" i="2"/>
  <c r="AA17" i="2"/>
  <c r="AA16" i="2"/>
  <c r="Z13" i="2"/>
  <c r="AB18" i="2"/>
  <c r="AB15" i="2"/>
  <c r="AC11" i="2"/>
  <c r="Z12" i="2"/>
  <c r="AF4" i="2"/>
  <c r="AF35" i="2"/>
  <c r="AF6" i="2"/>
  <c r="AF34" i="2"/>
  <c r="AF7" i="2"/>
  <c r="AF33" i="2"/>
  <c r="AF32" i="2"/>
  <c r="AF31" i="2"/>
  <c r="AF14" i="2"/>
  <c r="AF10" i="2"/>
  <c r="AF9" i="2"/>
  <c r="AF30" i="2"/>
  <c r="AF29" i="2"/>
  <c r="AF28" i="2"/>
  <c r="AF11" i="2"/>
  <c r="AF27" i="2"/>
  <c r="AF26" i="2"/>
  <c r="AF25" i="2"/>
  <c r="AF24" i="2"/>
  <c r="AF23" i="2"/>
  <c r="AF22" i="2"/>
  <c r="AF13" i="2"/>
  <c r="AF21" i="2"/>
  <c r="AF8" i="2"/>
  <c r="AF20" i="2"/>
  <c r="AF19" i="2"/>
  <c r="AF12" i="2"/>
  <c r="AF18" i="2"/>
  <c r="AF17" i="2"/>
  <c r="AF16" i="2"/>
  <c r="AF15" i="2"/>
  <c r="AF5" i="2"/>
  <c r="AA37" i="2" l="1"/>
  <c r="C37" i="2"/>
  <c r="Q39" i="1"/>
  <c r="I37" i="2"/>
  <c r="R39" i="1"/>
  <c r="T39" i="1"/>
  <c r="V39" i="1"/>
  <c r="J37" i="2"/>
  <c r="L37" i="2"/>
  <c r="M37" i="2"/>
  <c r="O39" i="1"/>
  <c r="N39" i="1"/>
  <c r="E37" i="2"/>
  <c r="D37" i="2"/>
  <c r="R37" i="2"/>
  <c r="W39" i="1"/>
  <c r="H37" i="2"/>
  <c r="U37" i="2"/>
  <c r="O37" i="2"/>
  <c r="AC37" i="2"/>
  <c r="F37" i="2"/>
  <c r="AB37" i="2"/>
  <c r="W37" i="2"/>
  <c r="T37" i="2"/>
  <c r="S39" i="1"/>
  <c r="B37" i="2"/>
  <c r="U39" i="1"/>
  <c r="P37" i="2"/>
  <c r="AD37" i="2"/>
  <c r="Q37" i="2"/>
  <c r="N37" i="2"/>
  <c r="X37" i="2"/>
  <c r="K37" i="2"/>
  <c r="AE37" i="2"/>
  <c r="V37" i="2"/>
  <c r="Y37" i="2"/>
  <c r="Z37" i="2"/>
  <c r="P39" i="1"/>
  <c r="S37" i="2"/>
  <c r="AF37" i="2"/>
  <c r="G37" i="2"/>
</calcChain>
</file>

<file path=xl/sharedStrings.xml><?xml version="1.0" encoding="utf-8"?>
<sst xmlns="http://schemas.openxmlformats.org/spreadsheetml/2006/main" count="199" uniqueCount="43">
  <si>
    <t>黏性百搭 Sticky Wild - State Probability</t>
  </si>
  <si>
    <t>Source: https://ezslotdesign.com/stickywild/</t>
  </si>
  <si>
    <t>滾輪表</t>
  </si>
  <si>
    <t>State Probability：Free Spin #1~10 開始時</t>
  </si>
  <si>
    <t>R1</t>
  </si>
  <si>
    <t>R2</t>
  </si>
  <si>
    <t>R3</t>
  </si>
  <si>
    <t>R4</t>
  </si>
  <si>
    <t>R5</t>
  </si>
  <si>
    <t>WILD Status</t>
  </si>
  <si>
    <t>WILD</t>
  </si>
  <si>
    <t>A</t>
  </si>
  <si>
    <t>W</t>
  </si>
  <si>
    <t>K</t>
  </si>
  <si>
    <t>Q</t>
  </si>
  <si>
    <t>J</t>
  </si>
  <si>
    <t>10</t>
  </si>
  <si>
    <t>黏住率</t>
  </si>
  <si>
    <t>沒黏住率 q</t>
  </si>
  <si>
    <t>每把機率合計</t>
  </si>
  <si>
    <t>Sticky Wild 轉移矩陣 M[to,from]</t>
  </si>
  <si>
    <t>單把轉移矩陣；欄是 current state，列是 next state。已黏住的 W 不會消失，因此 next state 必須包含 current state。</t>
  </si>
  <si>
    <t>To \ From</t>
  </si>
  <si>
    <t>Column Sum</t>
  </si>
  <si>
    <t>黏性百搭計算說明</t>
  </si>
  <si>
    <t>Source</t>
  </si>
  <si>
    <t>https://ezslotdesign.com/stickywild/</t>
  </si>
  <si>
    <t>黏住率由 WILD 出現次數 / 該軸有效 symbol 數計算；空白不列入 COUNTA。</t>
  </si>
  <si>
    <t>0~31 對應五個位置的二進位狀態；本表用空白 / W 顯示，與文章圖片一致。</t>
  </si>
  <si>
    <t>Free Spin #n</t>
  </si>
  <si>
    <t>本 workbook 計算第 n 把開始時的狀態機率，因此公式使用 q^(n-1)。</t>
  </si>
  <si>
    <t>狀態公式</t>
  </si>
  <si>
    <t>若該位置為 W，取 1-q^(n-1)；若該位置空白，取 q^(n-1)；五個位置相乘。</t>
  </si>
  <si>
    <t>機率合計</t>
  </si>
  <si>
    <t>每個 Free Spin # 的 32 種 state 機率加總應為 100%。</t>
  </si>
  <si>
    <t>Transition Matrix</t>
  </si>
  <si>
    <t>保留馬可夫鏈做法，M[to,from] 的每欄加總應為 1。</t>
  </si>
  <si>
    <t>不含 RTP</t>
  </si>
  <si>
    <t>依照文章此圖，這版只計算 1~10 把的 state 機率，未加入 state RTP 或 Free Game EV。</t>
  </si>
  <si>
    <t>時間點</t>
  </si>
  <si>
    <t>第 1 把開始尚未經過任何 Free Spin，所以 00000 = 100%；第 2 把開始才等於第 1 把結束後的狀態。</t>
  </si>
  <si>
    <t>後續擴充</t>
  </si>
  <si>
    <t>若要算 RTP，可另外加 state RTP 欄，再用 SUMPRODUCT(state probability, state RTP)。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</si>
</sst>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00"/>
  </numFmts>
  <fonts count="8">
    <font>
      <sz val="11"/>
      <name val="Carlito"/>
    </font>
    <font>
      <b/>
      <sz val="14"/>
      <color rgb="FFFFFFFF"/>
      <name val="Aptos"/>
    </font>
    <font>
      <i/>
      <sz val="11"/>
      <color rgb="FF374151"/>
      <name val="Aptos"/>
    </font>
    <font>
      <sz val="11"/>
      <name val="Aptos"/>
    </font>
    <font>
      <b/>
      <sz val="11"/>
      <name val="Aptos"/>
    </font>
    <font>
      <b/>
      <sz val="11"/>
      <color rgb="FF0070C0"/>
      <name val="Aptos"/>
    </font>
    <font>
      <sz val="11"/>
      <name val="Carlito"/>
    </font>
    <font>
      <sz val="9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rgb="FF14532D"/>
      </patternFill>
    </fill>
    <fill>
      <patternFill patternType="solid">
        <fgColor rgb="FFF3F8F2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A9B7A8"/>
      </left>
      <right style="thin">
        <color rgb="FFA9B7A8"/>
      </right>
      <top style="thin">
        <color rgb="FFA9B7A8"/>
      </top>
      <bottom style="thin">
        <color rgb="FFA9B7A8"/>
      </bottom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3" fillId="0" borderId="0" xfId="1" applyNumberFormat="1" applyFont="1" applyFill="1" applyBorder="1"/>
    <xf numFmtId="0" fontId="4" fillId="4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vertical="center"/>
    </xf>
    <xf numFmtId="0" fontId="3" fillId="5" borderId="1" xfId="1" applyNumberFormat="1" applyFont="1" applyFill="1" applyBorder="1" applyAlignment="1">
      <alignment vertical="center"/>
    </xf>
    <xf numFmtId="0" fontId="5" fillId="0" borderId="1" xfId="1" applyNumberFormat="1" applyFont="1" applyFill="1" applyBorder="1" applyAlignment="1">
      <alignment horizontal="center" vertical="center"/>
    </xf>
    <xf numFmtId="10" fontId="3" fillId="0" borderId="1" xfId="1" applyNumberFormat="1" applyFont="1" applyFill="1" applyBorder="1" applyAlignment="1">
      <alignment vertical="center"/>
    </xf>
    <xf numFmtId="0" fontId="4" fillId="4" borderId="1" xfId="1" applyNumberFormat="1" applyFont="1" applyFill="1" applyBorder="1" applyAlignment="1">
      <alignment vertical="center"/>
    </xf>
    <xf numFmtId="0" fontId="4" fillId="6" borderId="1" xfId="1" applyNumberFormat="1" applyFont="1" applyFill="1" applyBorder="1" applyAlignment="1">
      <alignment vertical="center"/>
    </xf>
    <xf numFmtId="176" fontId="3" fillId="0" borderId="1" xfId="1" applyNumberFormat="1" applyFont="1" applyFill="1" applyBorder="1" applyAlignment="1">
      <alignment vertical="center"/>
    </xf>
    <xf numFmtId="176" fontId="3" fillId="0" borderId="0" xfId="1" applyNumberFormat="1" applyFont="1" applyFill="1" applyBorder="1"/>
    <xf numFmtId="176" fontId="4" fillId="6" borderId="1" xfId="1" applyNumberFormat="1" applyFont="1" applyFill="1" applyBorder="1" applyAlignment="1">
      <alignment vertical="center"/>
    </xf>
    <xf numFmtId="0" fontId="3" fillId="0" borderId="1" xfId="1" applyNumberFormat="1" applyFont="1" applyFill="1" applyBorder="1" applyAlignment="1">
      <alignment vertical="center" wrapText="1"/>
    </xf>
    <xf numFmtId="0" fontId="1" fillId="2" borderId="0" xfId="1" applyNumberFormat="1" applyFont="1" applyFill="1" applyBorder="1" applyAlignment="1">
      <alignment vertical="center"/>
    </xf>
    <xf numFmtId="0" fontId="2" fillId="3" borderId="0" xfId="1" applyNumberFormat="1" applyFont="1" applyFill="1" applyBorder="1"/>
    <xf numFmtId="0" fontId="4" fillId="4" borderId="1" xfId="1" applyNumberFormat="1" applyFont="1" applyFill="1" applyBorder="1" applyAlignment="1">
      <alignment horizontal="center" vertical="center"/>
    </xf>
    <xf numFmtId="0" fontId="4" fillId="6" borderId="1" xfId="1" applyNumberFormat="1" applyFont="1" applyFill="1" applyBorder="1" applyAlignment="1">
      <alignment vertical="center"/>
    </xf>
  </cellXfs>
  <cellStyles count="2">
    <cellStyle name="Normal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showGridLines="0" tabSelected="1" workbookViewId="0">
      <selection sqref="A1:W1"/>
    </sheetView>
  </sheetViews>
  <sheetFormatPr defaultRowHeight="14.25"/>
  <cols>
    <col min="1" max="1" width="7" customWidth="1"/>
    <col min="2" max="6" width="12" customWidth="1"/>
    <col min="7" max="7" width="4" customWidth="1"/>
    <col min="8" max="8" width="11" customWidth="1"/>
    <col min="9" max="13" width="8" customWidth="1"/>
    <col min="14" max="23" width="12" customWidth="1"/>
  </cols>
  <sheetData>
    <row r="1" spans="1:23" ht="16.7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ht="15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3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" customHeight="1">
      <c r="A4" s="1"/>
      <c r="B4" s="15" t="s">
        <v>2</v>
      </c>
      <c r="C4" s="15"/>
      <c r="D4" s="15"/>
      <c r="E4" s="15"/>
      <c r="F4" s="15"/>
      <c r="G4" s="1"/>
      <c r="H4" s="15" t="s">
        <v>3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" customHeight="1">
      <c r="A5" s="2"/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1"/>
      <c r="H5" s="2" t="s">
        <v>9</v>
      </c>
      <c r="I5" s="2" t="s">
        <v>4</v>
      </c>
      <c r="J5" s="2" t="s">
        <v>5</v>
      </c>
      <c r="K5" s="2" t="s">
        <v>6</v>
      </c>
      <c r="L5" s="2" t="s">
        <v>7</v>
      </c>
      <c r="M5" s="2" t="s">
        <v>8</v>
      </c>
      <c r="N5" s="2">
        <v>1</v>
      </c>
      <c r="O5" s="2">
        <v>2</v>
      </c>
      <c r="P5" s="2">
        <v>3</v>
      </c>
      <c r="Q5" s="2">
        <v>4</v>
      </c>
      <c r="R5" s="2">
        <v>5</v>
      </c>
      <c r="S5" s="2">
        <v>6</v>
      </c>
      <c r="T5" s="2">
        <v>7</v>
      </c>
      <c r="U5" s="2">
        <v>8</v>
      </c>
      <c r="V5" s="2">
        <v>9</v>
      </c>
      <c r="W5" s="2">
        <v>10</v>
      </c>
    </row>
    <row r="6" spans="1:23" ht="15" customHeight="1">
      <c r="A6" s="3">
        <v>1</v>
      </c>
      <c r="B6" s="4" t="s">
        <v>10</v>
      </c>
      <c r="C6" s="4" t="s">
        <v>10</v>
      </c>
      <c r="D6" s="4" t="s">
        <v>10</v>
      </c>
      <c r="E6" s="4" t="s">
        <v>10</v>
      </c>
      <c r="F6" s="4" t="s">
        <v>10</v>
      </c>
      <c r="G6" s="1"/>
      <c r="H6" s="3">
        <v>0</v>
      </c>
      <c r="I6" s="5"/>
      <c r="J6" s="5"/>
      <c r="K6" s="5"/>
      <c r="L6" s="5"/>
      <c r="M6" s="5"/>
      <c r="N6" s="6">
        <f t="shared" ref="N6:W15" si="0">IF($I6="W",1-$B$25^(N$5-1),$B$25^(N$5-1))*IF($J6="W",1-$C$25^(N$5-1),$C$25^(N$5-1))*IF($K6="W",1-$D$25^(N$5-1),$D$25^(N$5-1))*IF($L6="W",1-$E$25^(N$5-1),$E$25^(N$5-1))*IF($M6="W",1-$F$25^(N$5-1),$F$25^(N$5-1))</f>
        <v>1</v>
      </c>
      <c r="O6" s="6">
        <f t="shared" si="0"/>
        <v>0.6875</v>
      </c>
      <c r="P6" s="6">
        <f t="shared" si="0"/>
        <v>0.47265625000000006</v>
      </c>
      <c r="Q6" s="6">
        <f t="shared" si="0"/>
        <v>0.32495117187500011</v>
      </c>
      <c r="R6" s="6">
        <f t="shared" si="0"/>
        <v>0.22340393066406258</v>
      </c>
      <c r="S6" s="6">
        <f t="shared" si="0"/>
        <v>0.15359020233154302</v>
      </c>
      <c r="T6" s="6">
        <f t="shared" si="0"/>
        <v>0.10559326410293585</v>
      </c>
      <c r="U6" s="6">
        <f t="shared" si="0"/>
        <v>7.2595369070768384E-2</v>
      </c>
      <c r="V6" s="6">
        <f t="shared" si="0"/>
        <v>4.990931623615328E-2</v>
      </c>
      <c r="W6" s="6">
        <f t="shared" si="0"/>
        <v>3.4312654912355384E-2</v>
      </c>
    </row>
    <row r="7" spans="1:23" ht="15" customHeight="1">
      <c r="A7" s="3">
        <v>2</v>
      </c>
      <c r="B7" s="4" t="s">
        <v>11</v>
      </c>
      <c r="C7" s="4" t="s">
        <v>11</v>
      </c>
      <c r="D7" s="4" t="s">
        <v>11</v>
      </c>
      <c r="E7" s="4" t="s">
        <v>11</v>
      </c>
      <c r="F7" s="4" t="s">
        <v>11</v>
      </c>
      <c r="G7" s="1"/>
      <c r="H7" s="3">
        <v>1</v>
      </c>
      <c r="I7" s="5"/>
      <c r="J7" s="5"/>
      <c r="K7" s="5"/>
      <c r="L7" s="5"/>
      <c r="M7" s="5" t="s">
        <v>12</v>
      </c>
      <c r="N7" s="6">
        <f t="shared" si="0"/>
        <v>0</v>
      </c>
      <c r="O7" s="6">
        <f t="shared" si="0"/>
        <v>6.2500000000000028E-2</v>
      </c>
      <c r="P7" s="6">
        <f t="shared" si="0"/>
        <v>8.9843750000000069E-2</v>
      </c>
      <c r="Q7" s="6">
        <f t="shared" si="0"/>
        <v>9.6923828125000083E-2</v>
      </c>
      <c r="R7" s="6">
        <f t="shared" si="0"/>
        <v>9.3002319335937639E-2</v>
      </c>
      <c r="S7" s="6">
        <f t="shared" si="0"/>
        <v>8.3714485168457142E-2</v>
      </c>
      <c r="T7" s="6">
        <f t="shared" si="0"/>
        <v>7.238525152206432E-2</v>
      </c>
      <c r="U7" s="6">
        <f t="shared" si="0"/>
        <v>6.0888517647981727E-2</v>
      </c>
      <c r="V7" s="6">
        <f t="shared" si="0"/>
        <v>5.0203598802909352E-2</v>
      </c>
      <c r="W7" s="6">
        <f t="shared" si="0"/>
        <v>4.0772031366941602E-2</v>
      </c>
    </row>
    <row r="8" spans="1:23" ht="15" customHeight="1">
      <c r="A8" s="3">
        <v>3</v>
      </c>
      <c r="B8" s="4" t="s">
        <v>13</v>
      </c>
      <c r="C8" s="4" t="s">
        <v>13</v>
      </c>
      <c r="D8" s="4" t="s">
        <v>13</v>
      </c>
      <c r="E8" s="4" t="s">
        <v>13</v>
      </c>
      <c r="F8" s="4" t="s">
        <v>13</v>
      </c>
      <c r="G8" s="1"/>
      <c r="H8" s="3">
        <v>2</v>
      </c>
      <c r="I8" s="5"/>
      <c r="J8" s="5"/>
      <c r="K8" s="5"/>
      <c r="L8" s="5" t="s">
        <v>12</v>
      </c>
      <c r="M8" s="5"/>
      <c r="N8" s="6">
        <f t="shared" si="0"/>
        <v>0</v>
      </c>
      <c r="O8" s="6">
        <f t="shared" si="0"/>
        <v>5.729166666666663E-2</v>
      </c>
      <c r="P8" s="6">
        <f t="shared" si="0"/>
        <v>8.2058376736111036E-2</v>
      </c>
      <c r="Q8" s="6">
        <f t="shared" si="0"/>
        <v>8.8195659496166007E-2</v>
      </c>
      <c r="R8" s="6">
        <f t="shared" si="0"/>
        <v>8.430438645092049E-2</v>
      </c>
      <c r="S8" s="6">
        <f t="shared" si="0"/>
        <v>7.5588388019720412E-2</v>
      </c>
      <c r="T8" s="6">
        <f t="shared" si="0"/>
        <v>6.509704016909891E-2</v>
      </c>
      <c r="U8" s="6">
        <f t="shared" si="0"/>
        <v>5.4533347131840812E-2</v>
      </c>
      <c r="V8" s="6">
        <f t="shared" si="0"/>
        <v>4.4775092185581691E-2</v>
      </c>
      <c r="W8" s="6">
        <f t="shared" si="0"/>
        <v>3.620750344341598E-2</v>
      </c>
    </row>
    <row r="9" spans="1:23" ht="15" customHeight="1">
      <c r="A9" s="3">
        <v>4</v>
      </c>
      <c r="B9" s="4" t="s">
        <v>14</v>
      </c>
      <c r="C9" s="4" t="s">
        <v>14</v>
      </c>
      <c r="D9" s="4" t="s">
        <v>14</v>
      </c>
      <c r="E9" s="4" t="s">
        <v>14</v>
      </c>
      <c r="F9" s="4" t="s">
        <v>14</v>
      </c>
      <c r="G9" s="1"/>
      <c r="H9" s="3">
        <v>3</v>
      </c>
      <c r="I9" s="5"/>
      <c r="J9" s="5"/>
      <c r="K9" s="5"/>
      <c r="L9" s="5" t="s">
        <v>12</v>
      </c>
      <c r="M9" s="5" t="s">
        <v>12</v>
      </c>
      <c r="N9" s="6">
        <f t="shared" si="0"/>
        <v>0</v>
      </c>
      <c r="O9" s="6">
        <f t="shared" si="0"/>
        <v>5.2083333333333322E-3</v>
      </c>
      <c r="P9" s="6">
        <f t="shared" si="0"/>
        <v>1.5597873263888885E-2</v>
      </c>
      <c r="Q9" s="6">
        <f t="shared" si="0"/>
        <v>2.6306293628833903E-2</v>
      </c>
      <c r="R9" s="6">
        <f t="shared" si="0"/>
        <v>3.5095637963141926E-2</v>
      </c>
      <c r="S9" s="6">
        <f t="shared" si="0"/>
        <v>4.119952244170532E-2</v>
      </c>
      <c r="T9" s="6">
        <f t="shared" si="0"/>
        <v>4.4624680049559502E-2</v>
      </c>
      <c r="U9" s="6">
        <f t="shared" si="0"/>
        <v>4.5739207772381635E-2</v>
      </c>
      <c r="V9" s="6">
        <f t="shared" si="0"/>
        <v>4.5039101594020914E-2</v>
      </c>
      <c r="W9" s="6">
        <f t="shared" si="0"/>
        <v>4.302358619245255E-2</v>
      </c>
    </row>
    <row r="10" spans="1:23" ht="15" customHeight="1">
      <c r="A10" s="3">
        <v>5</v>
      </c>
      <c r="B10" s="4" t="s">
        <v>15</v>
      </c>
      <c r="C10" s="4" t="s">
        <v>15</v>
      </c>
      <c r="D10" s="4" t="s">
        <v>15</v>
      </c>
      <c r="E10" s="4" t="s">
        <v>15</v>
      </c>
      <c r="F10" s="4" t="s">
        <v>15</v>
      </c>
      <c r="G10" s="1"/>
      <c r="H10" s="3">
        <v>4</v>
      </c>
      <c r="I10" s="5"/>
      <c r="J10" s="5"/>
      <c r="K10" s="5" t="s">
        <v>12</v>
      </c>
      <c r="L10" s="5"/>
      <c r="M10" s="5"/>
      <c r="N10" s="6">
        <f t="shared" si="0"/>
        <v>0</v>
      </c>
      <c r="O10" s="6">
        <f t="shared" si="0"/>
        <v>5.2884615384615363E-2</v>
      </c>
      <c r="P10" s="6">
        <f t="shared" si="0"/>
        <v>7.5513128698224838E-2</v>
      </c>
      <c r="Q10" s="6">
        <f t="shared" si="0"/>
        <v>8.09050027381088E-2</v>
      </c>
      <c r="R10" s="6">
        <f t="shared" si="0"/>
        <v>7.7085737078335367E-2</v>
      </c>
      <c r="S10" s="6">
        <f t="shared" si="0"/>
        <v>6.8887724746963142E-2</v>
      </c>
      <c r="T10" s="6">
        <f t="shared" si="0"/>
        <v>5.9125970368650492E-2</v>
      </c>
      <c r="U10" s="6">
        <f t="shared" si="0"/>
        <v>4.9360217989925334E-2</v>
      </c>
      <c r="V10" s="6">
        <f t="shared" si="0"/>
        <v>4.0384724183783437E-2</v>
      </c>
      <c r="W10" s="6">
        <f t="shared" si="0"/>
        <v>3.2539663475482386E-2</v>
      </c>
    </row>
    <row r="11" spans="1:23" ht="15" customHeight="1">
      <c r="A11" s="3">
        <v>6</v>
      </c>
      <c r="B11" s="4" t="s">
        <v>16</v>
      </c>
      <c r="C11" s="4" t="s">
        <v>16</v>
      </c>
      <c r="D11" s="4" t="s">
        <v>16</v>
      </c>
      <c r="E11" s="4" t="s">
        <v>16</v>
      </c>
      <c r="F11" s="4" t="s">
        <v>16</v>
      </c>
      <c r="G11" s="1"/>
      <c r="H11" s="3">
        <v>5</v>
      </c>
      <c r="I11" s="5"/>
      <c r="J11" s="5"/>
      <c r="K11" s="5" t="s">
        <v>12</v>
      </c>
      <c r="L11" s="5"/>
      <c r="M11" s="5" t="s">
        <v>12</v>
      </c>
      <c r="N11" s="6">
        <f t="shared" si="0"/>
        <v>0</v>
      </c>
      <c r="O11" s="6">
        <f t="shared" si="0"/>
        <v>4.807692307692308E-3</v>
      </c>
      <c r="P11" s="6">
        <f t="shared" si="0"/>
        <v>1.43537352071006E-2</v>
      </c>
      <c r="Q11" s="6">
        <f t="shared" si="0"/>
        <v>2.4131695031577166E-2</v>
      </c>
      <c r="R11" s="6">
        <f t="shared" si="0"/>
        <v>3.2090538043334102E-2</v>
      </c>
      <c r="S11" s="6">
        <f t="shared" si="0"/>
        <v>3.7547319582077583E-2</v>
      </c>
      <c r="T11" s="6">
        <f t="shared" si="0"/>
        <v>4.0531451252882468E-2</v>
      </c>
      <c r="U11" s="6">
        <f t="shared" si="0"/>
        <v>4.1400306144293589E-2</v>
      </c>
      <c r="V11" s="6">
        <f t="shared" si="0"/>
        <v>4.0622846466090545E-2</v>
      </c>
      <c r="W11" s="6">
        <f t="shared" si="0"/>
        <v>3.8665273301669453E-2</v>
      </c>
    </row>
    <row r="12" spans="1:23" ht="15" customHeight="1">
      <c r="A12" s="3">
        <v>7</v>
      </c>
      <c r="B12" s="4" t="s">
        <v>11</v>
      </c>
      <c r="C12" s="4" t="s">
        <v>11</v>
      </c>
      <c r="D12" s="4" t="s">
        <v>11</v>
      </c>
      <c r="E12" s="4" t="s">
        <v>11</v>
      </c>
      <c r="F12" s="4" t="s">
        <v>11</v>
      </c>
      <c r="G12" s="1"/>
      <c r="H12" s="3">
        <v>6</v>
      </c>
      <c r="I12" s="5"/>
      <c r="J12" s="5"/>
      <c r="K12" s="5" t="s">
        <v>12</v>
      </c>
      <c r="L12" s="5" t="s">
        <v>12</v>
      </c>
      <c r="M12" s="5"/>
      <c r="N12" s="6">
        <f t="shared" si="0"/>
        <v>0</v>
      </c>
      <c r="O12" s="6">
        <f t="shared" si="0"/>
        <v>4.4070512820512777E-3</v>
      </c>
      <c r="P12" s="6">
        <f t="shared" si="0"/>
        <v>1.3109918176775133E-2</v>
      </c>
      <c r="Q12" s="6">
        <f t="shared" si="0"/>
        <v>2.1958591599637145E-2</v>
      </c>
      <c r="R12" s="6">
        <f t="shared" si="0"/>
        <v>2.9089308094038074E-2</v>
      </c>
      <c r="S12" s="6">
        <f t="shared" si="0"/>
        <v>3.3902631736423945E-2</v>
      </c>
      <c r="T12" s="6">
        <f t="shared" si="0"/>
        <v>3.6450484799607399E-2</v>
      </c>
      <c r="U12" s="6">
        <f t="shared" si="0"/>
        <v>3.7079195775200163E-2</v>
      </c>
      <c r="V12" s="6">
        <f t="shared" si="0"/>
        <v>3.6230304972768787E-2</v>
      </c>
      <c r="W12" s="6">
        <f t="shared" si="0"/>
        <v>3.4336602059664115E-2</v>
      </c>
    </row>
    <row r="13" spans="1:23" ht="15" customHeight="1">
      <c r="A13" s="3">
        <v>8</v>
      </c>
      <c r="B13" s="4" t="s">
        <v>13</v>
      </c>
      <c r="C13" s="4" t="s">
        <v>13</v>
      </c>
      <c r="D13" s="4" t="s">
        <v>13</v>
      </c>
      <c r="E13" s="4" t="s">
        <v>13</v>
      </c>
      <c r="F13" s="4" t="s">
        <v>13</v>
      </c>
      <c r="G13" s="1"/>
      <c r="H13" s="3">
        <v>7</v>
      </c>
      <c r="I13" s="5"/>
      <c r="J13" s="5"/>
      <c r="K13" s="5" t="s">
        <v>12</v>
      </c>
      <c r="L13" s="5" t="s">
        <v>12</v>
      </c>
      <c r="M13" s="5" t="s">
        <v>12</v>
      </c>
      <c r="N13" s="6">
        <f t="shared" si="0"/>
        <v>0</v>
      </c>
      <c r="O13" s="6">
        <f t="shared" si="0"/>
        <v>4.0064102564102541E-4</v>
      </c>
      <c r="P13" s="6">
        <f t="shared" si="0"/>
        <v>2.491967917899407E-3</v>
      </c>
      <c r="Q13" s="6">
        <f t="shared" si="0"/>
        <v>6.5496325056768976E-3</v>
      </c>
      <c r="R13" s="6">
        <f t="shared" si="0"/>
        <v>1.2109782995229986E-2</v>
      </c>
      <c r="S13" s="6">
        <f t="shared" si="0"/>
        <v>1.8478661519984559E-2</v>
      </c>
      <c r="T13" s="6">
        <f t="shared" si="0"/>
        <v>2.4987176338716909E-2</v>
      </c>
      <c r="U13" s="6">
        <f t="shared" si="0"/>
        <v>3.1099742245684653E-2</v>
      </c>
      <c r="V13" s="6">
        <f t="shared" si="0"/>
        <v>3.6443931364508825E-2</v>
      </c>
      <c r="W13" s="6">
        <f t="shared" si="0"/>
        <v>4.0800486578108273E-2</v>
      </c>
    </row>
    <row r="14" spans="1:23" ht="15" customHeight="1">
      <c r="A14" s="3">
        <v>9</v>
      </c>
      <c r="B14" s="4" t="s">
        <v>14</v>
      </c>
      <c r="C14" s="4" t="s">
        <v>14</v>
      </c>
      <c r="D14" s="4" t="s">
        <v>14</v>
      </c>
      <c r="E14" s="4" t="s">
        <v>14</v>
      </c>
      <c r="F14" s="4" t="s">
        <v>14</v>
      </c>
      <c r="G14" s="1"/>
      <c r="H14" s="3">
        <v>8</v>
      </c>
      <c r="I14" s="5"/>
      <c r="J14" s="5" t="s">
        <v>12</v>
      </c>
      <c r="K14" s="5"/>
      <c r="L14" s="5"/>
      <c r="M14" s="5"/>
      <c r="N14" s="6">
        <f t="shared" si="0"/>
        <v>0</v>
      </c>
      <c r="O14" s="6">
        <f t="shared" si="0"/>
        <v>4.9107142857142849E-2</v>
      </c>
      <c r="P14" s="6">
        <f t="shared" si="0"/>
        <v>6.993383290816324E-2</v>
      </c>
      <c r="Q14" s="6">
        <f t="shared" si="0"/>
        <v>7.4724558838602392E-2</v>
      </c>
      <c r="R14" s="6">
        <f t="shared" si="0"/>
        <v>7.1000067406224943E-2</v>
      </c>
      <c r="S14" s="6">
        <f t="shared" si="0"/>
        <v>6.3269885532731288E-2</v>
      </c>
      <c r="T14" s="6">
        <f t="shared" si="0"/>
        <v>5.414742561851621E-2</v>
      </c>
      <c r="U14" s="6">
        <f t="shared" si="0"/>
        <v>4.5070763982979781E-2</v>
      </c>
      <c r="V14" s="6">
        <f t="shared" si="0"/>
        <v>3.6764397843616577E-2</v>
      </c>
      <c r="W14" s="6">
        <f t="shared" si="0"/>
        <v>2.9531821976760811E-2</v>
      </c>
    </row>
    <row r="15" spans="1:23" ht="15" customHeight="1">
      <c r="A15" s="3">
        <v>10</v>
      </c>
      <c r="B15" s="4" t="s">
        <v>15</v>
      </c>
      <c r="C15" s="4" t="s">
        <v>15</v>
      </c>
      <c r="D15" s="4" t="s">
        <v>15</v>
      </c>
      <c r="E15" s="4" t="s">
        <v>15</v>
      </c>
      <c r="F15" s="4" t="s">
        <v>15</v>
      </c>
      <c r="G15" s="1"/>
      <c r="H15" s="3">
        <v>9</v>
      </c>
      <c r="I15" s="5"/>
      <c r="J15" s="5" t="s">
        <v>12</v>
      </c>
      <c r="K15" s="5"/>
      <c r="L15" s="5"/>
      <c r="M15" s="5" t="s">
        <v>12</v>
      </c>
      <c r="N15" s="6">
        <f t="shared" si="0"/>
        <v>0</v>
      </c>
      <c r="O15" s="6">
        <f t="shared" si="0"/>
        <v>4.4642857142857158E-3</v>
      </c>
      <c r="P15" s="6">
        <f t="shared" si="0"/>
        <v>1.329320790816327E-2</v>
      </c>
      <c r="Q15" s="6">
        <f t="shared" si="0"/>
        <v>2.228824181737428E-2</v>
      </c>
      <c r="R15" s="6">
        <f t="shared" si="0"/>
        <v>2.9557093835184855E-2</v>
      </c>
      <c r="S15" s="6">
        <f t="shared" si="0"/>
        <v>3.4485311000544486E-2</v>
      </c>
      <c r="T15" s="6">
        <f t="shared" si="0"/>
        <v>3.7118608426080377E-2</v>
      </c>
      <c r="U15" s="6">
        <f t="shared" si="0"/>
        <v>3.7802576711338923E-2</v>
      </c>
      <c r="V15" s="6">
        <f t="shared" si="0"/>
        <v>3.6981173431393989E-2</v>
      </c>
      <c r="W15" s="6">
        <f t="shared" si="0"/>
        <v>3.5091203960608185E-2</v>
      </c>
    </row>
    <row r="16" spans="1:23" ht="15" customHeight="1">
      <c r="A16" s="3">
        <v>11</v>
      </c>
      <c r="B16" s="4" t="s">
        <v>16</v>
      </c>
      <c r="C16" s="4" t="s">
        <v>16</v>
      </c>
      <c r="D16" s="4" t="s">
        <v>16</v>
      </c>
      <c r="E16" s="4" t="s">
        <v>16</v>
      </c>
      <c r="F16" s="4" t="s">
        <v>16</v>
      </c>
      <c r="G16" s="1"/>
      <c r="H16" s="3">
        <v>10</v>
      </c>
      <c r="I16" s="5"/>
      <c r="J16" s="5" t="s">
        <v>12</v>
      </c>
      <c r="K16" s="5"/>
      <c r="L16" s="5" t="s">
        <v>12</v>
      </c>
      <c r="M16" s="5"/>
      <c r="N16" s="6">
        <f t="shared" ref="N16:W25" si="1">IF($I16="W",1-$B$25^(N$5-1),$B$25^(N$5-1))*IF($J16="W",1-$C$25^(N$5-1),$C$25^(N$5-1))*IF($K16="W",1-$D$25^(N$5-1),$D$25^(N$5-1))*IF($L16="W",1-$E$25^(N$5-1),$E$25^(N$5-1))*IF($M16="W",1-$F$25^(N$5-1),$F$25^(N$5-1))</f>
        <v>0</v>
      </c>
      <c r="O16" s="6">
        <f t="shared" si="1"/>
        <v>4.0922619047619015E-3</v>
      </c>
      <c r="P16" s="6">
        <f t="shared" si="1"/>
        <v>1.2141290435444993E-2</v>
      </c>
      <c r="Q16" s="6">
        <f t="shared" si="1"/>
        <v>2.0281144731078983E-2</v>
      </c>
      <c r="R16" s="6">
        <f t="shared" si="1"/>
        <v>2.6792801285383364E-2</v>
      </c>
      <c r="S16" s="6">
        <f t="shared" si="1"/>
        <v>3.1137849843363381E-2</v>
      </c>
      <c r="T16" s="6">
        <f t="shared" si="1"/>
        <v>3.3381268876258197E-2</v>
      </c>
      <c r="U16" s="6">
        <f t="shared" si="1"/>
        <v>3.3856975303550023E-2</v>
      </c>
      <c r="V16" s="6">
        <f t="shared" si="1"/>
        <v>3.298240542520018E-2</v>
      </c>
      <c r="W16" s="6">
        <f t="shared" si="1"/>
        <v>3.1162658460709435E-2</v>
      </c>
    </row>
    <row r="17" spans="1:23" ht="15" customHeight="1">
      <c r="A17" s="3">
        <v>12</v>
      </c>
      <c r="B17" s="4" t="s">
        <v>11</v>
      </c>
      <c r="C17" s="4" t="s">
        <v>11</v>
      </c>
      <c r="D17" s="4" t="s">
        <v>11</v>
      </c>
      <c r="E17" s="4" t="s">
        <v>11</v>
      </c>
      <c r="F17" s="4" t="s">
        <v>11</v>
      </c>
      <c r="G17" s="1"/>
      <c r="H17" s="3">
        <v>11</v>
      </c>
      <c r="I17" s="5"/>
      <c r="J17" s="5" t="s">
        <v>12</v>
      </c>
      <c r="K17" s="5"/>
      <c r="L17" s="5" t="s">
        <v>12</v>
      </c>
      <c r="M17" s="5" t="s">
        <v>12</v>
      </c>
      <c r="N17" s="6">
        <f t="shared" si="1"/>
        <v>0</v>
      </c>
      <c r="O17" s="6">
        <f t="shared" si="1"/>
        <v>3.7202380952380939E-4</v>
      </c>
      <c r="P17" s="6">
        <f t="shared" si="1"/>
        <v>2.3078485951672318E-3</v>
      </c>
      <c r="Q17" s="6">
        <f t="shared" si="1"/>
        <v>6.049297113627619E-3</v>
      </c>
      <c r="R17" s="6">
        <f t="shared" si="1"/>
        <v>1.1153754786859624E-2</v>
      </c>
      <c r="S17" s="6">
        <f t="shared" si="1"/>
        <v>1.6971714532044407E-2</v>
      </c>
      <c r="T17" s="6">
        <f t="shared" si="1"/>
        <v>2.2883197751876538E-2</v>
      </c>
      <c r="U17" s="6">
        <f t="shared" si="1"/>
        <v>2.839714247155169E-2</v>
      </c>
      <c r="V17" s="6">
        <f t="shared" si="1"/>
        <v>3.3176881079412537E-2</v>
      </c>
      <c r="W17" s="6">
        <f t="shared" si="1"/>
        <v>3.7029046323659005E-2</v>
      </c>
    </row>
    <row r="18" spans="1:23" ht="15" customHeight="1">
      <c r="A18" s="3">
        <v>13</v>
      </c>
      <c r="B18" s="4" t="s">
        <v>13</v>
      </c>
      <c r="C18" s="4" t="s">
        <v>13</v>
      </c>
      <c r="D18" s="4" t="s">
        <v>13</v>
      </c>
      <c r="E18" s="4" t="s">
        <v>13</v>
      </c>
      <c r="F18" s="4"/>
      <c r="G18" s="1"/>
      <c r="H18" s="3">
        <v>12</v>
      </c>
      <c r="I18" s="5"/>
      <c r="J18" s="5" t="s">
        <v>12</v>
      </c>
      <c r="K18" s="5" t="s">
        <v>12</v>
      </c>
      <c r="L18" s="5"/>
      <c r="M18" s="5"/>
      <c r="N18" s="6">
        <f t="shared" si="1"/>
        <v>0</v>
      </c>
      <c r="O18" s="6">
        <f t="shared" si="1"/>
        <v>3.7774725274725249E-3</v>
      </c>
      <c r="P18" s="6">
        <f t="shared" si="1"/>
        <v>1.1172860878818977E-2</v>
      </c>
      <c r="Q18" s="6">
        <f t="shared" si="1"/>
        <v>1.8604612510111741E-2</v>
      </c>
      <c r="R18" s="6">
        <f t="shared" si="1"/>
        <v>2.4498640253784773E-2</v>
      </c>
      <c r="S18" s="6">
        <f t="shared" si="1"/>
        <v>2.8377581337787859E-2</v>
      </c>
      <c r="T18" s="6">
        <f t="shared" si="1"/>
        <v>3.0319349532922365E-2</v>
      </c>
      <c r="U18" s="6">
        <f t="shared" si="1"/>
        <v>3.0645243128437607E-2</v>
      </c>
      <c r="V18" s="6">
        <f t="shared" si="1"/>
        <v>2.9748355190284841E-2</v>
      </c>
      <c r="W18" s="6">
        <f t="shared" si="1"/>
        <v>2.8005864057917256E-2</v>
      </c>
    </row>
    <row r="19" spans="1:23" ht="15" customHeight="1">
      <c r="A19" s="3">
        <v>14</v>
      </c>
      <c r="B19" s="4" t="s">
        <v>14</v>
      </c>
      <c r="C19" s="4" t="s">
        <v>14</v>
      </c>
      <c r="D19" s="4" t="s">
        <v>14</v>
      </c>
      <c r="E19" s="4"/>
      <c r="F19" s="4"/>
      <c r="G19" s="1"/>
      <c r="H19" s="3">
        <v>13</v>
      </c>
      <c r="I19" s="5"/>
      <c r="J19" s="5" t="s">
        <v>12</v>
      </c>
      <c r="K19" s="5" t="s">
        <v>12</v>
      </c>
      <c r="L19" s="5"/>
      <c r="M19" s="5" t="s">
        <v>12</v>
      </c>
      <c r="N19" s="6">
        <f t="shared" si="1"/>
        <v>0</v>
      </c>
      <c r="O19" s="6">
        <f t="shared" si="1"/>
        <v>3.4340659340659332E-4</v>
      </c>
      <c r="P19" s="6">
        <f t="shared" si="1"/>
        <v>2.1237669439077411E-3</v>
      </c>
      <c r="Q19" s="6">
        <f t="shared" si="1"/>
        <v>5.5492345353225885E-3</v>
      </c>
      <c r="R19" s="6">
        <f t="shared" si="1"/>
        <v>1.0198703117739114E-2</v>
      </c>
      <c r="S19" s="6">
        <f t="shared" si="1"/>
        <v>1.5467227570225324E-2</v>
      </c>
      <c r="T19" s="6">
        <f t="shared" si="1"/>
        <v>2.0784221044502681E-2</v>
      </c>
      <c r="U19" s="6">
        <f t="shared" si="1"/>
        <v>2.5703339633600868E-2</v>
      </c>
      <c r="V19" s="6">
        <f t="shared" si="1"/>
        <v>2.9923761767300352E-2</v>
      </c>
      <c r="W19" s="6">
        <f t="shared" si="1"/>
        <v>3.3277983611129505E-2</v>
      </c>
    </row>
    <row r="20" spans="1:23" ht="15" customHeight="1">
      <c r="A20" s="3">
        <v>15</v>
      </c>
      <c r="B20" s="4" t="s">
        <v>15</v>
      </c>
      <c r="C20" s="4" t="s">
        <v>15</v>
      </c>
      <c r="D20" s="4"/>
      <c r="E20" s="4"/>
      <c r="F20" s="4"/>
      <c r="G20" s="1"/>
      <c r="H20" s="3">
        <v>14</v>
      </c>
      <c r="I20" s="5"/>
      <c r="J20" s="5" t="s">
        <v>12</v>
      </c>
      <c r="K20" s="5" t="s">
        <v>12</v>
      </c>
      <c r="L20" s="5" t="s">
        <v>12</v>
      </c>
      <c r="M20" s="5"/>
      <c r="N20" s="6">
        <f t="shared" si="1"/>
        <v>0</v>
      </c>
      <c r="O20" s="6">
        <f t="shared" si="1"/>
        <v>3.1478937728937688E-4</v>
      </c>
      <c r="P20" s="6">
        <f t="shared" si="1"/>
        <v>1.9397327914616258E-3</v>
      </c>
      <c r="Q20" s="6">
        <f t="shared" si="1"/>
        <v>5.0495157796541651E-3</v>
      </c>
      <c r="R20" s="6">
        <f t="shared" si="1"/>
        <v>9.2448813650591044E-3</v>
      </c>
      <c r="S20" s="6">
        <f t="shared" si="1"/>
        <v>1.3965836340208796E-2</v>
      </c>
      <c r="T20" s="6">
        <f t="shared" si="1"/>
        <v>1.8691532373898097E-2</v>
      </c>
      <c r="U20" s="6">
        <f t="shared" si="1"/>
        <v>2.3020582481419964E-2</v>
      </c>
      <c r="V20" s="6">
        <f t="shared" si="1"/>
        <v>2.6688110486466032E-2</v>
      </c>
      <c r="W20" s="6">
        <f t="shared" si="1"/>
        <v>2.9552432532632362E-2</v>
      </c>
    </row>
    <row r="21" spans="1:23" ht="15" customHeight="1">
      <c r="A21" s="3">
        <v>16</v>
      </c>
      <c r="B21" s="4" t="s">
        <v>16</v>
      </c>
      <c r="C21" s="4"/>
      <c r="D21" s="4"/>
      <c r="E21" s="4"/>
      <c r="F21" s="4"/>
      <c r="G21" s="1"/>
      <c r="H21" s="3">
        <v>15</v>
      </c>
      <c r="I21" s="5"/>
      <c r="J21" s="5" t="s">
        <v>12</v>
      </c>
      <c r="K21" s="5" t="s">
        <v>12</v>
      </c>
      <c r="L21" s="5" t="s">
        <v>12</v>
      </c>
      <c r="M21" s="5" t="s">
        <v>12</v>
      </c>
      <c r="N21" s="6">
        <f t="shared" si="1"/>
        <v>0</v>
      </c>
      <c r="O21" s="6">
        <f t="shared" si="1"/>
        <v>2.861721611721609E-5</v>
      </c>
      <c r="P21" s="6">
        <f t="shared" si="1"/>
        <v>3.6870953887287129E-4</v>
      </c>
      <c r="Q21" s="6">
        <f t="shared" si="1"/>
        <v>1.5061290492281777E-3</v>
      </c>
      <c r="R21" s="6">
        <f t="shared" si="1"/>
        <v>3.8486136138266031E-3</v>
      </c>
      <c r="S21" s="6">
        <f t="shared" si="1"/>
        <v>7.6120923172154752E-3</v>
      </c>
      <c r="T21" s="6">
        <f t="shared" si="1"/>
        <v>1.2813234667113621E-2</v>
      </c>
      <c r="U21" s="6">
        <f t="shared" si="1"/>
        <v>1.9308244597810983E-2</v>
      </c>
      <c r="V21" s="6">
        <f t="shared" si="1"/>
        <v>2.6845472803726907E-2</v>
      </c>
      <c r="W21" s="6">
        <f t="shared" si="1"/>
        <v>3.511569446513578E-2</v>
      </c>
    </row>
    <row r="22" spans="1:23" ht="15" customHeight="1">
      <c r="A22" s="1"/>
      <c r="B22" s="1"/>
      <c r="C22" s="1"/>
      <c r="D22" s="1"/>
      <c r="E22" s="1"/>
      <c r="F22" s="1"/>
      <c r="G22" s="1"/>
      <c r="H22" s="3">
        <v>16</v>
      </c>
      <c r="I22" s="5" t="s">
        <v>12</v>
      </c>
      <c r="J22" s="5"/>
      <c r="K22" s="5"/>
      <c r="L22" s="5"/>
      <c r="M22" s="5"/>
      <c r="N22" s="6">
        <f t="shared" si="1"/>
        <v>0</v>
      </c>
      <c r="O22" s="6">
        <f t="shared" si="1"/>
        <v>4.5833333333333337E-2</v>
      </c>
      <c r="P22" s="6">
        <f t="shared" si="1"/>
        <v>6.5121527777777785E-2</v>
      </c>
      <c r="Q22" s="6">
        <f t="shared" si="1"/>
        <v>6.9419198495370385E-2</v>
      </c>
      <c r="R22" s="6">
        <f t="shared" si="1"/>
        <v>6.5801007607542455E-2</v>
      </c>
      <c r="S22" s="6">
        <f t="shared" si="1"/>
        <v>5.8493419067634007E-2</v>
      </c>
      <c r="T22" s="6">
        <f t="shared" si="1"/>
        <v>4.9934724923127324E-2</v>
      </c>
      <c r="U22" s="6">
        <f t="shared" si="1"/>
        <v>4.14584895483446E-2</v>
      </c>
      <c r="V22" s="6">
        <f t="shared" si="1"/>
        <v>3.3730180084529597E-2</v>
      </c>
      <c r="W22" s="6">
        <f t="shared" si="1"/>
        <v>2.7022975722812075E-2</v>
      </c>
    </row>
    <row r="23" spans="1:23" ht="15" customHeight="1">
      <c r="A23" s="2" t="s">
        <v>10</v>
      </c>
      <c r="B23" s="2" t="s">
        <v>4</v>
      </c>
      <c r="C23" s="2" t="s">
        <v>5</v>
      </c>
      <c r="D23" s="2" t="s">
        <v>6</v>
      </c>
      <c r="E23" s="2" t="s">
        <v>7</v>
      </c>
      <c r="F23" s="2" t="s">
        <v>8</v>
      </c>
      <c r="G23" s="1"/>
      <c r="H23" s="3">
        <v>17</v>
      </c>
      <c r="I23" s="5" t="s">
        <v>12</v>
      </c>
      <c r="J23" s="5"/>
      <c r="K23" s="5"/>
      <c r="L23" s="5"/>
      <c r="M23" s="5" t="s">
        <v>12</v>
      </c>
      <c r="N23" s="6">
        <f t="shared" si="1"/>
        <v>0</v>
      </c>
      <c r="O23" s="6">
        <f t="shared" si="1"/>
        <v>4.1666666666666683E-3</v>
      </c>
      <c r="P23" s="6">
        <f t="shared" si="1"/>
        <v>1.2378472222222232E-2</v>
      </c>
      <c r="Q23" s="6">
        <f t="shared" si="1"/>
        <v>2.0705801504629646E-2</v>
      </c>
      <c r="R23" s="6">
        <f t="shared" si="1"/>
        <v>2.7392742392457595E-2</v>
      </c>
      <c r="S23" s="6">
        <f t="shared" si="1"/>
        <v>3.1881893432366061E-2</v>
      </c>
      <c r="T23" s="6">
        <f t="shared" si="1"/>
        <v>3.4230759451872733E-2</v>
      </c>
      <c r="U23" s="6">
        <f t="shared" si="1"/>
        <v>3.477282373290546E-2</v>
      </c>
      <c r="V23" s="6">
        <f t="shared" si="1"/>
        <v>3.3929064876407983E-2</v>
      </c>
      <c r="W23" s="6">
        <f t="shared" si="1"/>
        <v>3.2110065997891145E-2</v>
      </c>
    </row>
    <row r="24" spans="1:23" ht="15" customHeight="1">
      <c r="A24" s="7" t="s">
        <v>17</v>
      </c>
      <c r="B24" s="6">
        <f>COUNTIF(B$6:B$21,"WILD")/COUNTA(B$6:B$21)</f>
        <v>6.25E-2</v>
      </c>
      <c r="C24" s="6">
        <f>COUNTIF(C$6:C$21,"WILD")/COUNTA(C$6:C$21)</f>
        <v>6.6666666666666666E-2</v>
      </c>
      <c r="D24" s="6">
        <f>COUNTIF(D$6:D$21,"WILD")/COUNTA(D$6:D$21)</f>
        <v>7.1428571428571425E-2</v>
      </c>
      <c r="E24" s="6">
        <f>COUNTIF(E$6:E$21,"WILD")/COUNTA(E$6:E$21)</f>
        <v>7.6923076923076927E-2</v>
      </c>
      <c r="F24" s="6">
        <f>COUNTIF(F$6:F$21,"WILD")/COUNTA(F$6:F$21)</f>
        <v>8.3333333333333329E-2</v>
      </c>
      <c r="G24" s="1"/>
      <c r="H24" s="3">
        <v>18</v>
      </c>
      <c r="I24" s="5" t="s">
        <v>12</v>
      </c>
      <c r="J24" s="5"/>
      <c r="K24" s="5"/>
      <c r="L24" s="5" t="s">
        <v>12</v>
      </c>
      <c r="M24" s="5"/>
      <c r="N24" s="6">
        <f t="shared" si="1"/>
        <v>0</v>
      </c>
      <c r="O24" s="6">
        <f t="shared" si="1"/>
        <v>3.8194444444444417E-3</v>
      </c>
      <c r="P24" s="6">
        <f t="shared" si="1"/>
        <v>1.1305820794753075E-2</v>
      </c>
      <c r="Q24" s="6">
        <f t="shared" si="1"/>
        <v>1.884120607310687E-2</v>
      </c>
      <c r="R24" s="6">
        <f t="shared" si="1"/>
        <v>2.4830868273968895E-2</v>
      </c>
      <c r="S24" s="6">
        <f t="shared" si="1"/>
        <v>2.8787143906095356E-2</v>
      </c>
      <c r="T24" s="6">
        <f t="shared" si="1"/>
        <v>3.0784187057471084E-2</v>
      </c>
      <c r="U24" s="6">
        <f t="shared" si="1"/>
        <v>3.1143449383082531E-2</v>
      </c>
      <c r="V24" s="6">
        <f t="shared" si="1"/>
        <v>3.0260320850219839E-2</v>
      </c>
      <c r="W24" s="6">
        <f t="shared" si="1"/>
        <v>2.8515266132401414E-2</v>
      </c>
    </row>
    <row r="25" spans="1:23" ht="15" customHeight="1">
      <c r="A25" s="7" t="s">
        <v>18</v>
      </c>
      <c r="B25" s="6">
        <f>1-B24</f>
        <v>0.9375</v>
      </c>
      <c r="C25" s="6">
        <f>1-C24</f>
        <v>0.93333333333333335</v>
      </c>
      <c r="D25" s="6">
        <f>1-D24</f>
        <v>0.9285714285714286</v>
      </c>
      <c r="E25" s="6">
        <f>1-E24</f>
        <v>0.92307692307692313</v>
      </c>
      <c r="F25" s="6">
        <f>1-F24</f>
        <v>0.91666666666666663</v>
      </c>
      <c r="G25" s="1"/>
      <c r="H25" s="3">
        <v>19</v>
      </c>
      <c r="I25" s="5" t="s">
        <v>12</v>
      </c>
      <c r="J25" s="5"/>
      <c r="K25" s="5"/>
      <c r="L25" s="5" t="s">
        <v>12</v>
      </c>
      <c r="M25" s="5" t="s">
        <v>12</v>
      </c>
      <c r="N25" s="6">
        <f t="shared" si="1"/>
        <v>0</v>
      </c>
      <c r="O25" s="6">
        <f t="shared" si="1"/>
        <v>3.4722222222222218E-4</v>
      </c>
      <c r="P25" s="6">
        <f t="shared" si="1"/>
        <v>2.149040316358024E-3</v>
      </c>
      <c r="Q25" s="6">
        <f t="shared" si="1"/>
        <v>5.6198037648560722E-3</v>
      </c>
      <c r="R25" s="6">
        <f t="shared" si="1"/>
        <v>1.0337008546536477E-2</v>
      </c>
      <c r="S25" s="6">
        <f t="shared" si="1"/>
        <v>1.5690460035771025E-2</v>
      </c>
      <c r="T25" s="6">
        <f t="shared" si="1"/>
        <v>2.1102871873390331E-2</v>
      </c>
      <c r="U25" s="6">
        <f t="shared" si="1"/>
        <v>2.6121204308945527E-2</v>
      </c>
      <c r="V25" s="6">
        <f t="shared" si="1"/>
        <v>3.043874615359465E-2</v>
      </c>
      <c r="W25" s="6">
        <f t="shared" si="1"/>
        <v>3.3883280910691552E-2</v>
      </c>
    </row>
    <row r="26" spans="1:23" ht="15" customHeight="1">
      <c r="A26" s="1"/>
      <c r="B26" s="1"/>
      <c r="C26" s="1"/>
      <c r="D26" s="1"/>
      <c r="E26" s="1"/>
      <c r="F26" s="1"/>
      <c r="G26" s="1"/>
      <c r="H26" s="3">
        <v>20</v>
      </c>
      <c r="I26" s="5" t="s">
        <v>12</v>
      </c>
      <c r="J26" s="5"/>
      <c r="K26" s="5" t="s">
        <v>12</v>
      </c>
      <c r="L26" s="5"/>
      <c r="M26" s="5"/>
      <c r="N26" s="6">
        <f t="shared" ref="N26:W37" si="2">IF($I26="W",1-$B$25^(N$5-1),$B$25^(N$5-1))*IF($J26="W",1-$C$25^(N$5-1),$C$25^(N$5-1))*IF($K26="W",1-$D$25^(N$5-1),$D$25^(N$5-1))*IF($L26="W",1-$E$25^(N$5-1),$E$25^(N$5-1))*IF($M26="W",1-$F$25^(N$5-1),$F$25^(N$5-1))</f>
        <v>0</v>
      </c>
      <c r="O26" s="6">
        <f t="shared" si="2"/>
        <v>3.525641025641024E-3</v>
      </c>
      <c r="P26" s="6">
        <f t="shared" si="2"/>
        <v>1.0404031065088757E-2</v>
      </c>
      <c r="Q26" s="6">
        <f t="shared" si="2"/>
        <v>1.7283705770126351E-2</v>
      </c>
      <c r="R26" s="6">
        <f t="shared" si="2"/>
        <v>2.2704699764445606E-2</v>
      </c>
      <c r="S26" s="6">
        <f t="shared" si="2"/>
        <v>2.6235257790349284E-2</v>
      </c>
      <c r="T26" s="6">
        <f t="shared" si="2"/>
        <v>2.7960486791026775E-2</v>
      </c>
      <c r="U26" s="6">
        <f t="shared" si="2"/>
        <v>2.8189127045341298E-2</v>
      </c>
      <c r="V26" s="6">
        <f t="shared" si="2"/>
        <v>2.7293181355915571E-2</v>
      </c>
      <c r="W26" s="6">
        <f t="shared" si="2"/>
        <v>2.5626654025241512E-2</v>
      </c>
    </row>
    <row r="27" spans="1:23" ht="15" customHeight="1">
      <c r="A27" s="1"/>
      <c r="B27" s="1"/>
      <c r="C27" s="1"/>
      <c r="D27" s="1"/>
      <c r="E27" s="1"/>
      <c r="F27" s="1"/>
      <c r="G27" s="1"/>
      <c r="H27" s="3">
        <v>21</v>
      </c>
      <c r="I27" s="5" t="s">
        <v>12</v>
      </c>
      <c r="J27" s="5"/>
      <c r="K27" s="5" t="s">
        <v>12</v>
      </c>
      <c r="L27" s="5"/>
      <c r="M27" s="5" t="s">
        <v>12</v>
      </c>
      <c r="N27" s="6">
        <f t="shared" si="2"/>
        <v>0</v>
      </c>
      <c r="O27" s="6">
        <f t="shared" si="2"/>
        <v>3.2051282051282051E-4</v>
      </c>
      <c r="P27" s="6">
        <f t="shared" si="2"/>
        <v>1.9776257396449718E-3</v>
      </c>
      <c r="Q27" s="6">
        <f t="shared" si="2"/>
        <v>5.155245071931003E-3</v>
      </c>
      <c r="R27" s="6">
        <f t="shared" si="2"/>
        <v>9.4518916101561448E-3</v>
      </c>
      <c r="S27" s="6">
        <f t="shared" si="2"/>
        <v>1.4299552092782117E-2</v>
      </c>
      <c r="T27" s="6">
        <f t="shared" si="2"/>
        <v>1.9167196754850183E-2</v>
      </c>
      <c r="U27" s="6">
        <f t="shared" si="2"/>
        <v>2.364330096466986E-2</v>
      </c>
      <c r="V27" s="6">
        <f t="shared" si="2"/>
        <v>2.7454111380008743E-2</v>
      </c>
      <c r="W27" s="6">
        <f t="shared" si="2"/>
        <v>3.0450885960755979E-2</v>
      </c>
    </row>
    <row r="28" spans="1:23" ht="15" customHeight="1">
      <c r="A28" s="1"/>
      <c r="B28" s="1"/>
      <c r="C28" s="1"/>
      <c r="D28" s="1"/>
      <c r="E28" s="1"/>
      <c r="F28" s="1"/>
      <c r="G28" s="1"/>
      <c r="H28" s="3">
        <v>22</v>
      </c>
      <c r="I28" s="5" t="s">
        <v>12</v>
      </c>
      <c r="J28" s="5"/>
      <c r="K28" s="5" t="s">
        <v>12</v>
      </c>
      <c r="L28" s="5" t="s">
        <v>12</v>
      </c>
      <c r="M28" s="5"/>
      <c r="N28" s="6">
        <f t="shared" si="2"/>
        <v>0</v>
      </c>
      <c r="O28" s="6">
        <f t="shared" si="2"/>
        <v>2.9380341880341852E-4</v>
      </c>
      <c r="P28" s="6">
        <f t="shared" si="2"/>
        <v>1.8062553932445739E-3</v>
      </c>
      <c r="Q28" s="6">
        <f t="shared" si="2"/>
        <v>4.6910057906187786E-3</v>
      </c>
      <c r="R28" s="6">
        <f t="shared" si="2"/>
        <v>8.5679145282015149E-3</v>
      </c>
      <c r="S28" s="6">
        <f t="shared" si="2"/>
        <v>1.29115061739003E-2</v>
      </c>
      <c r="T28" s="6">
        <f t="shared" si="2"/>
        <v>1.7237320460220751E-2</v>
      </c>
      <c r="U28" s="6">
        <f t="shared" si="2"/>
        <v>2.1175558030548745E-2</v>
      </c>
      <c r="V28" s="6">
        <f t="shared" si="2"/>
        <v>2.4485502976369932E-2</v>
      </c>
      <c r="W28" s="6">
        <f t="shared" si="2"/>
        <v>2.7041835329624987E-2</v>
      </c>
    </row>
    <row r="29" spans="1:23" ht="15" customHeight="1">
      <c r="A29" s="1"/>
      <c r="B29" s="1"/>
      <c r="C29" s="1"/>
      <c r="D29" s="1"/>
      <c r="E29" s="1"/>
      <c r="F29" s="1"/>
      <c r="G29" s="1"/>
      <c r="H29" s="3">
        <v>23</v>
      </c>
      <c r="I29" s="5" t="s">
        <v>12</v>
      </c>
      <c r="J29" s="5"/>
      <c r="K29" s="5" t="s">
        <v>12</v>
      </c>
      <c r="L29" s="5" t="s">
        <v>12</v>
      </c>
      <c r="M29" s="5" t="s">
        <v>12</v>
      </c>
      <c r="N29" s="6">
        <f t="shared" si="2"/>
        <v>0</v>
      </c>
      <c r="O29" s="6">
        <f t="shared" si="2"/>
        <v>2.6709401709401696E-5</v>
      </c>
      <c r="P29" s="6">
        <f t="shared" si="2"/>
        <v>3.4333780202169616E-4</v>
      </c>
      <c r="Q29" s="6">
        <f t="shared" si="2"/>
        <v>1.3991955663979385E-3</v>
      </c>
      <c r="R29" s="6">
        <f t="shared" si="2"/>
        <v>3.5667945529259128E-3</v>
      </c>
      <c r="S29" s="6">
        <f t="shared" si="2"/>
        <v>7.0374286620458323E-3</v>
      </c>
      <c r="T29" s="6">
        <f t="shared" si="2"/>
        <v>1.1816357678489584E-2</v>
      </c>
      <c r="U29" s="6">
        <f t="shared" si="2"/>
        <v>1.7760751895785919E-2</v>
      </c>
      <c r="V29" s="6">
        <f t="shared" si="2"/>
        <v>2.4629877958990513E-2</v>
      </c>
      <c r="W29" s="6">
        <f t="shared" si="2"/>
        <v>3.2132475936221726E-2</v>
      </c>
    </row>
    <row r="30" spans="1:23" ht="15" customHeight="1">
      <c r="A30" s="1"/>
      <c r="B30" s="1"/>
      <c r="C30" s="1"/>
      <c r="D30" s="1"/>
      <c r="E30" s="1"/>
      <c r="F30" s="1"/>
      <c r="G30" s="1"/>
      <c r="H30" s="3">
        <v>24</v>
      </c>
      <c r="I30" s="5" t="s">
        <v>12</v>
      </c>
      <c r="J30" s="5" t="s">
        <v>12</v>
      </c>
      <c r="K30" s="5"/>
      <c r="L30" s="5"/>
      <c r="M30" s="5"/>
      <c r="N30" s="6">
        <f t="shared" si="2"/>
        <v>0</v>
      </c>
      <c r="O30" s="6">
        <f t="shared" si="2"/>
        <v>3.273809523809523E-3</v>
      </c>
      <c r="P30" s="6">
        <f t="shared" si="2"/>
        <v>9.6353280895691579E-3</v>
      </c>
      <c r="Q30" s="6">
        <f t="shared" si="2"/>
        <v>1.5963379828928096E-2</v>
      </c>
      <c r="R30" s="6">
        <f t="shared" si="2"/>
        <v>2.091223713766361E-2</v>
      </c>
      <c r="S30" s="6">
        <f t="shared" si="2"/>
        <v>2.4095755280265242E-2</v>
      </c>
      <c r="T30" s="6">
        <f t="shared" si="2"/>
        <v>2.5606148522128398E-2</v>
      </c>
      <c r="U30" s="6">
        <f t="shared" si="2"/>
        <v>2.5739462743177639E-2</v>
      </c>
      <c r="V30" s="6">
        <f t="shared" si="2"/>
        <v>2.484645860698444E-2</v>
      </c>
      <c r="W30" s="6">
        <f t="shared" si="2"/>
        <v>2.3257824565509094E-2</v>
      </c>
    </row>
    <row r="31" spans="1:23" ht="15" customHeight="1">
      <c r="A31" s="1"/>
      <c r="B31" s="1"/>
      <c r="C31" s="1"/>
      <c r="D31" s="1"/>
      <c r="E31" s="1"/>
      <c r="F31" s="1"/>
      <c r="G31" s="1"/>
      <c r="H31" s="3">
        <v>25</v>
      </c>
      <c r="I31" s="5" t="s">
        <v>12</v>
      </c>
      <c r="J31" s="5" t="s">
        <v>12</v>
      </c>
      <c r="K31" s="5"/>
      <c r="L31" s="5"/>
      <c r="M31" s="5" t="s">
        <v>12</v>
      </c>
      <c r="N31" s="6">
        <f t="shared" si="2"/>
        <v>0</v>
      </c>
      <c r="O31" s="6">
        <f t="shared" si="2"/>
        <v>2.976190476190477E-4</v>
      </c>
      <c r="P31" s="6">
        <f t="shared" si="2"/>
        <v>1.8315086451247172E-3</v>
      </c>
      <c r="Q31" s="6">
        <f t="shared" si="2"/>
        <v>4.76142884454129E-3</v>
      </c>
      <c r="R31" s="6">
        <f t="shared" si="2"/>
        <v>8.7056953318803247E-3</v>
      </c>
      <c r="S31" s="6">
        <f t="shared" si="2"/>
        <v>1.3133414224419378E-2</v>
      </c>
      <c r="T31" s="6">
        <f t="shared" si="2"/>
        <v>1.7553274037241037E-2</v>
      </c>
      <c r="U31" s="6">
        <f t="shared" si="2"/>
        <v>2.1588673651617419E-2</v>
      </c>
      <c r="V31" s="6">
        <f t="shared" si="2"/>
        <v>2.4992961908673943E-2</v>
      </c>
      <c r="W31" s="6">
        <f t="shared" si="2"/>
        <v>2.7636123031981031E-2</v>
      </c>
    </row>
    <row r="32" spans="1:23" ht="15" customHeight="1">
      <c r="A32" s="1"/>
      <c r="B32" s="1"/>
      <c r="C32" s="1"/>
      <c r="D32" s="1"/>
      <c r="E32" s="1"/>
      <c r="F32" s="1"/>
      <c r="G32" s="1"/>
      <c r="H32" s="3">
        <v>26</v>
      </c>
      <c r="I32" s="5" t="s">
        <v>12</v>
      </c>
      <c r="J32" s="5" t="s">
        <v>12</v>
      </c>
      <c r="K32" s="5"/>
      <c r="L32" s="5" t="s">
        <v>12</v>
      </c>
      <c r="M32" s="5"/>
      <c r="N32" s="6">
        <f t="shared" si="2"/>
        <v>0</v>
      </c>
      <c r="O32" s="6">
        <f t="shared" si="2"/>
        <v>2.7281746031746011E-4</v>
      </c>
      <c r="P32" s="6">
        <f t="shared" si="2"/>
        <v>1.6728000155501993E-3</v>
      </c>
      <c r="Q32" s="6">
        <f t="shared" si="2"/>
        <v>4.3326534373653173E-3</v>
      </c>
      <c r="R32" s="6">
        <f t="shared" si="2"/>
        <v>7.8915053820513854E-3</v>
      </c>
      <c r="S32" s="6">
        <f t="shared" si="2"/>
        <v>1.1858564362206463E-2</v>
      </c>
      <c r="T32" s="6">
        <f t="shared" si="2"/>
        <v>1.5785897832422058E-2</v>
      </c>
      <c r="U32" s="6">
        <f t="shared" si="2"/>
        <v>1.9335380131375264E-2</v>
      </c>
      <c r="V32" s="6">
        <f t="shared" si="2"/>
        <v>2.2290477179631136E-2</v>
      </c>
      <c r="W32" s="6">
        <f t="shared" si="2"/>
        <v>2.4542191946179223E-2</v>
      </c>
    </row>
    <row r="33" spans="1:23" ht="15" customHeight="1">
      <c r="A33" s="1"/>
      <c r="B33" s="1"/>
      <c r="C33" s="1"/>
      <c r="D33" s="1"/>
      <c r="E33" s="1"/>
      <c r="F33" s="1"/>
      <c r="G33" s="1"/>
      <c r="H33" s="3">
        <v>27</v>
      </c>
      <c r="I33" s="5" t="s">
        <v>12</v>
      </c>
      <c r="J33" s="5" t="s">
        <v>12</v>
      </c>
      <c r="K33" s="5"/>
      <c r="L33" s="5" t="s">
        <v>12</v>
      </c>
      <c r="M33" s="5" t="s">
        <v>12</v>
      </c>
      <c r="N33" s="6">
        <f t="shared" si="2"/>
        <v>0</v>
      </c>
      <c r="O33" s="6">
        <f t="shared" si="2"/>
        <v>2.4801587301587291E-5</v>
      </c>
      <c r="P33" s="6">
        <f t="shared" si="2"/>
        <v>3.1797025088970755E-4</v>
      </c>
      <c r="Q33" s="6">
        <f t="shared" si="2"/>
        <v>1.2923091019038555E-3</v>
      </c>
      <c r="R33" s="6">
        <f t="shared" si="2"/>
        <v>3.2852076568269414E-3</v>
      </c>
      <c r="S33" s="6">
        <f t="shared" si="2"/>
        <v>6.463521730873118E-3</v>
      </c>
      <c r="T33" s="6">
        <f t="shared" si="2"/>
        <v>1.0821392773572861E-2</v>
      </c>
      <c r="U33" s="6">
        <f t="shared" si="2"/>
        <v>1.6217324182373177E-2</v>
      </c>
      <c r="V33" s="6">
        <f t="shared" si="2"/>
        <v>2.2421909532012028E-2</v>
      </c>
      <c r="W33" s="6">
        <f t="shared" si="2"/>
        <v>2.9162273289520646E-2</v>
      </c>
    </row>
    <row r="34" spans="1:23" ht="15" customHeight="1">
      <c r="A34" s="1"/>
      <c r="B34" s="1"/>
      <c r="C34" s="1"/>
      <c r="D34" s="1"/>
      <c r="E34" s="1"/>
      <c r="F34" s="1"/>
      <c r="G34" s="1"/>
      <c r="H34" s="3">
        <v>28</v>
      </c>
      <c r="I34" s="5" t="s">
        <v>12</v>
      </c>
      <c r="J34" s="5" t="s">
        <v>12</v>
      </c>
      <c r="K34" s="5" t="s">
        <v>12</v>
      </c>
      <c r="L34" s="5"/>
      <c r="M34" s="5"/>
      <c r="N34" s="6">
        <f t="shared" si="2"/>
        <v>0</v>
      </c>
      <c r="O34" s="6">
        <f t="shared" si="2"/>
        <v>2.518315018315017E-4</v>
      </c>
      <c r="P34" s="6">
        <f t="shared" si="2"/>
        <v>1.5393719433039481E-3</v>
      </c>
      <c r="Q34" s="6">
        <f t="shared" si="2"/>
        <v>3.9744964799379454E-3</v>
      </c>
      <c r="R34" s="6">
        <f t="shared" si="2"/>
        <v>7.2157871570209323E-3</v>
      </c>
      <c r="S34" s="6">
        <f t="shared" si="2"/>
        <v>1.0807341432717154E-2</v>
      </c>
      <c r="T34" s="6">
        <f t="shared" si="2"/>
        <v>1.4337925734531144E-2</v>
      </c>
      <c r="U34" s="6">
        <f t="shared" si="2"/>
        <v>1.7501191993504139E-2</v>
      </c>
      <c r="V34" s="6">
        <f t="shared" si="2"/>
        <v>2.0104811154675842E-2</v>
      </c>
      <c r="W34" s="6">
        <f t="shared" si="2"/>
        <v>2.2056054434335306E-2</v>
      </c>
    </row>
    <row r="35" spans="1:23" ht="15" customHeight="1">
      <c r="A35" s="1"/>
      <c r="B35" s="1"/>
      <c r="C35" s="1"/>
      <c r="D35" s="1"/>
      <c r="E35" s="1"/>
      <c r="F35" s="1"/>
      <c r="G35" s="1"/>
      <c r="H35" s="3">
        <v>29</v>
      </c>
      <c r="I35" s="5" t="s">
        <v>12</v>
      </c>
      <c r="J35" s="5" t="s">
        <v>12</v>
      </c>
      <c r="K35" s="5" t="s">
        <v>12</v>
      </c>
      <c r="L35" s="5"/>
      <c r="M35" s="5" t="s">
        <v>12</v>
      </c>
      <c r="N35" s="6">
        <f t="shared" si="2"/>
        <v>0</v>
      </c>
      <c r="O35" s="6">
        <f t="shared" si="2"/>
        <v>2.289377289377289E-5</v>
      </c>
      <c r="P35" s="6">
        <f t="shared" si="2"/>
        <v>2.9260789004951099E-4</v>
      </c>
      <c r="Q35" s="6">
        <f t="shared" si="2"/>
        <v>1.1854809185089144E-3</v>
      </c>
      <c r="R35" s="6">
        <f t="shared" si="2"/>
        <v>3.003908388910773E-3</v>
      </c>
      <c r="S35" s="6">
        <f t="shared" si="2"/>
        <v>5.8905516780730664E-3</v>
      </c>
      <c r="T35" s="6">
        <f t="shared" si="2"/>
        <v>9.8287932418395594E-3</v>
      </c>
      <c r="U35" s="6">
        <f t="shared" si="2"/>
        <v>1.4678920311272055E-2</v>
      </c>
      <c r="V35" s="6">
        <f t="shared" si="2"/>
        <v>2.0223356065264268E-2</v>
      </c>
      <c r="W35" s="6">
        <f t="shared" si="2"/>
        <v>2.6208119002294954E-2</v>
      </c>
    </row>
    <row r="36" spans="1:23" ht="15" customHeight="1">
      <c r="A36" s="1"/>
      <c r="B36" s="1"/>
      <c r="C36" s="1"/>
      <c r="D36" s="1"/>
      <c r="E36" s="1"/>
      <c r="F36" s="1"/>
      <c r="G36" s="1"/>
      <c r="H36" s="3">
        <v>30</v>
      </c>
      <c r="I36" s="5" t="s">
        <v>12</v>
      </c>
      <c r="J36" s="5" t="s">
        <v>12</v>
      </c>
      <c r="K36" s="5" t="s">
        <v>12</v>
      </c>
      <c r="L36" s="5" t="s">
        <v>12</v>
      </c>
      <c r="M36" s="5"/>
      <c r="N36" s="6">
        <f t="shared" si="2"/>
        <v>0</v>
      </c>
      <c r="O36" s="6">
        <f t="shared" si="2"/>
        <v>2.0985958485958459E-5</v>
      </c>
      <c r="P36" s="6">
        <f t="shared" si="2"/>
        <v>2.672520734902685E-4</v>
      </c>
      <c r="Q36" s="6">
        <f t="shared" si="2"/>
        <v>1.0787261858164897E-3</v>
      </c>
      <c r="R36" s="6">
        <f t="shared" si="2"/>
        <v>2.7229713784572107E-3</v>
      </c>
      <c r="S36" s="6">
        <f t="shared" si="2"/>
        <v>5.3187606063206244E-3</v>
      </c>
      <c r="T36" s="6">
        <f t="shared" si="2"/>
        <v>8.839167303062662E-3</v>
      </c>
      <c r="U36" s="6">
        <f t="shared" si="2"/>
        <v>1.3146824520891611E-2</v>
      </c>
      <c r="V36" s="6">
        <f t="shared" si="2"/>
        <v>1.8036608006507603E-2</v>
      </c>
      <c r="W36" s="6">
        <f t="shared" si="2"/>
        <v>2.3274056435423365E-2</v>
      </c>
    </row>
    <row r="37" spans="1:23" ht="15" customHeight="1">
      <c r="A37" s="1"/>
      <c r="B37" s="1"/>
      <c r="C37" s="1"/>
      <c r="D37" s="1"/>
      <c r="E37" s="1"/>
      <c r="F37" s="1"/>
      <c r="G37" s="1"/>
      <c r="H37" s="3">
        <v>31</v>
      </c>
      <c r="I37" s="5" t="s">
        <v>12</v>
      </c>
      <c r="J37" s="5" t="s">
        <v>12</v>
      </c>
      <c r="K37" s="5" t="s">
        <v>12</v>
      </c>
      <c r="L37" s="5" t="s">
        <v>12</v>
      </c>
      <c r="M37" s="5" t="s">
        <v>12</v>
      </c>
      <c r="N37" s="6">
        <f t="shared" si="2"/>
        <v>0</v>
      </c>
      <c r="O37" s="6">
        <f t="shared" si="2"/>
        <v>1.9078144078144061E-6</v>
      </c>
      <c r="P37" s="6">
        <f t="shared" si="2"/>
        <v>5.0799980911373387E-5</v>
      </c>
      <c r="Q37" s="6">
        <f t="shared" si="2"/>
        <v>3.2175379096104182E-4</v>
      </c>
      <c r="R37" s="6">
        <f t="shared" si="2"/>
        <v>1.133564001891723E-3</v>
      </c>
      <c r="S37" s="6">
        <f t="shared" si="2"/>
        <v>2.8989955031848993E-3</v>
      </c>
      <c r="T37" s="6">
        <f t="shared" si="2"/>
        <v>6.0593386700696604E-3</v>
      </c>
      <c r="U37" s="6">
        <f t="shared" si="2"/>
        <v>1.1026745467398654E-2</v>
      </c>
      <c r="V37" s="6">
        <f t="shared" si="2"/>
        <v>1.8142958076995713E-2</v>
      </c>
      <c r="W37" s="6">
        <f t="shared" si="2"/>
        <v>2.7655410560473919E-2</v>
      </c>
    </row>
    <row r="38" spans="1:23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" customHeight="1">
      <c r="A39" s="1"/>
      <c r="B39" s="1"/>
      <c r="C39" s="1"/>
      <c r="D39" s="1"/>
      <c r="E39" s="1"/>
      <c r="F39" s="1"/>
      <c r="G39" s="1"/>
      <c r="H39" s="16" t="s">
        <v>19</v>
      </c>
      <c r="I39" s="16"/>
      <c r="J39" s="16"/>
      <c r="K39" s="16"/>
      <c r="L39" s="16"/>
      <c r="M39" s="16"/>
      <c r="N39" s="6">
        <f t="shared" ref="N39:W39" si="3">SUM(N$6:N$37)</f>
        <v>1</v>
      </c>
      <c r="O39" s="6">
        <f t="shared" si="3"/>
        <v>1.0000000000000002</v>
      </c>
      <c r="P39" s="6">
        <f t="shared" si="3"/>
        <v>0.99999999999999978</v>
      </c>
      <c r="Q39" s="6">
        <f t="shared" si="3"/>
        <v>1.0000000000000002</v>
      </c>
      <c r="R39" s="6">
        <f t="shared" si="3"/>
        <v>1.0000000000000002</v>
      </c>
      <c r="S39" s="6">
        <f t="shared" si="3"/>
        <v>1.0000000000000002</v>
      </c>
      <c r="T39" s="6">
        <f t="shared" si="3"/>
        <v>1.0000000000000002</v>
      </c>
      <c r="U39" s="6">
        <f t="shared" si="3"/>
        <v>1</v>
      </c>
      <c r="V39" s="6">
        <f t="shared" si="3"/>
        <v>1.0000000000000002</v>
      </c>
      <c r="W39" s="6">
        <f t="shared" si="3"/>
        <v>1</v>
      </c>
    </row>
  </sheetData>
  <mergeCells count="5">
    <mergeCell ref="A1:W1"/>
    <mergeCell ref="A2:W2"/>
    <mergeCell ref="B4:F4"/>
    <mergeCell ref="H4:W4"/>
    <mergeCell ref="H39:M39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showGridLines="0" workbookViewId="0"/>
  </sheetViews>
  <sheetFormatPr defaultRowHeight="14.25"/>
  <cols>
    <col min="1" max="1" width="10" customWidth="1"/>
    <col min="2" max="33" width="9" customWidth="1"/>
  </cols>
  <sheetData>
    <row r="1" spans="1:33" ht="16.7" customHeight="1">
      <c r="A1" s="13" t="s">
        <v>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</row>
    <row r="2" spans="1:33" ht="15" customHeight="1">
      <c r="A2" s="14" t="s">
        <v>21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ht="15" customHeight="1">
      <c r="A3" s="2" t="s">
        <v>22</v>
      </c>
      <c r="B3" s="2" t="str">
        <f>DEC2BIN(0,5)</f>
        <v>00000</v>
      </c>
      <c r="C3" s="2" t="str">
        <f>DEC2BIN(1,5)</f>
        <v>00001</v>
      </c>
      <c r="D3" s="2" t="str">
        <f>DEC2BIN(2,5)</f>
        <v>00010</v>
      </c>
      <c r="E3" s="2" t="str">
        <f>DEC2BIN(3,5)</f>
        <v>00011</v>
      </c>
      <c r="F3" s="2" t="str">
        <f>DEC2BIN(4,5)</f>
        <v>00100</v>
      </c>
      <c r="G3" s="2" t="str">
        <f>DEC2BIN(5,5)</f>
        <v>00101</v>
      </c>
      <c r="H3" s="2" t="str">
        <f>DEC2BIN(6,5)</f>
        <v>00110</v>
      </c>
      <c r="I3" s="2" t="str">
        <f>DEC2BIN(7,5)</f>
        <v>00111</v>
      </c>
      <c r="J3" s="2" t="str">
        <f>DEC2BIN(8,5)</f>
        <v>01000</v>
      </c>
      <c r="K3" s="2" t="str">
        <f>DEC2BIN(9,5)</f>
        <v>01001</v>
      </c>
      <c r="L3" s="2" t="str">
        <f>DEC2BIN(10,5)</f>
        <v>01010</v>
      </c>
      <c r="M3" s="2" t="str">
        <f>DEC2BIN(11,5)</f>
        <v>01011</v>
      </c>
      <c r="N3" s="2" t="str">
        <f>DEC2BIN(12,5)</f>
        <v>01100</v>
      </c>
      <c r="O3" s="2" t="str">
        <f>DEC2BIN(13,5)</f>
        <v>01101</v>
      </c>
      <c r="P3" s="2" t="str">
        <f>DEC2BIN(14,5)</f>
        <v>01110</v>
      </c>
      <c r="Q3" s="2" t="str">
        <f>DEC2BIN(15,5)</f>
        <v>01111</v>
      </c>
      <c r="R3" s="2" t="str">
        <f>DEC2BIN(16,5)</f>
        <v>10000</v>
      </c>
      <c r="S3" s="2" t="str">
        <f>DEC2BIN(17,5)</f>
        <v>10001</v>
      </c>
      <c r="T3" s="2" t="str">
        <f>DEC2BIN(18,5)</f>
        <v>10010</v>
      </c>
      <c r="U3" s="2" t="str">
        <f>DEC2BIN(19,5)</f>
        <v>10011</v>
      </c>
      <c r="V3" s="2" t="str">
        <f>DEC2BIN(20,5)</f>
        <v>10100</v>
      </c>
      <c r="W3" s="2" t="str">
        <f>DEC2BIN(21,5)</f>
        <v>10101</v>
      </c>
      <c r="X3" s="2" t="str">
        <f>DEC2BIN(22,5)</f>
        <v>10110</v>
      </c>
      <c r="Y3" s="2" t="str">
        <f>DEC2BIN(23,5)</f>
        <v>10111</v>
      </c>
      <c r="Z3" s="2" t="str">
        <f>DEC2BIN(24,5)</f>
        <v>11000</v>
      </c>
      <c r="AA3" s="2" t="str">
        <f>DEC2BIN(25,5)</f>
        <v>11001</v>
      </c>
      <c r="AB3" s="2" t="str">
        <f>DEC2BIN(26,5)</f>
        <v>11010</v>
      </c>
      <c r="AC3" s="2" t="str">
        <f>DEC2BIN(27,5)</f>
        <v>11011</v>
      </c>
      <c r="AD3" s="2" t="str">
        <f>DEC2BIN(28,5)</f>
        <v>11100</v>
      </c>
      <c r="AE3" s="2" t="str">
        <f>DEC2BIN(29,5)</f>
        <v>11101</v>
      </c>
      <c r="AF3" s="2" t="str">
        <f>DEC2BIN(30,5)</f>
        <v>11110</v>
      </c>
      <c r="AG3" s="2" t="str">
        <f>DEC2BIN(31,5)</f>
        <v>11111</v>
      </c>
    </row>
    <row r="4" spans="1:33" ht="15" customHeight="1">
      <c r="A4" s="2" t="str">
        <f>DEC2BIN(0,5)</f>
        <v>00000</v>
      </c>
      <c r="B4" s="9">
        <f>'Sticky Wild'!$B$25*'Sticky Wild'!$C$25*'Sticky Wild'!$D$25*'Sticky Wild'!$E$25*'Sticky Wild'!$F$25</f>
        <v>0.6875</v>
      </c>
      <c r="C4" s="9">
        <f>'Sticky Wild'!$B$25*'Sticky Wild'!$C$25*'Sticky Wild'!$D$25*'Sticky Wild'!$E$25*0</f>
        <v>0</v>
      </c>
      <c r="D4" s="9">
        <f>'Sticky Wild'!$B$25*'Sticky Wild'!$C$25*'Sticky Wild'!$D$25*0*'Sticky Wild'!$F$25</f>
        <v>0</v>
      </c>
      <c r="E4" s="9">
        <f>'Sticky Wild'!$B$25*'Sticky Wild'!$C$25*'Sticky Wild'!$D$25*0*0</f>
        <v>0</v>
      </c>
      <c r="F4" s="9">
        <f>'Sticky Wild'!$B$25*'Sticky Wild'!$C$25*0*'Sticky Wild'!$E$25*'Sticky Wild'!$F$25</f>
        <v>0</v>
      </c>
      <c r="G4" s="9">
        <f>'Sticky Wild'!$B$25*'Sticky Wild'!$C$25*0*'Sticky Wild'!$E$25*0</f>
        <v>0</v>
      </c>
      <c r="H4" s="9">
        <f>'Sticky Wild'!$B$25*'Sticky Wild'!$C$25*0*0*'Sticky Wild'!$F$25</f>
        <v>0</v>
      </c>
      <c r="I4" s="9">
        <f>'Sticky Wild'!$B$25*'Sticky Wild'!$C$25*0*0*0</f>
        <v>0</v>
      </c>
      <c r="J4" s="9">
        <f>'Sticky Wild'!$B$25*0*'Sticky Wild'!$D$25*'Sticky Wild'!$E$25*'Sticky Wild'!$F$25</f>
        <v>0</v>
      </c>
      <c r="K4" s="9">
        <f>'Sticky Wild'!$B$25*0*'Sticky Wild'!$D$25*'Sticky Wild'!$E$25*0</f>
        <v>0</v>
      </c>
      <c r="L4" s="9">
        <f>'Sticky Wild'!$B$25*0*'Sticky Wild'!$D$25*0*'Sticky Wild'!$F$25</f>
        <v>0</v>
      </c>
      <c r="M4" s="9">
        <f>'Sticky Wild'!$B$25*0*'Sticky Wild'!$D$25*0*0</f>
        <v>0</v>
      </c>
      <c r="N4" s="9">
        <f>'Sticky Wild'!$B$25*0*0*'Sticky Wild'!$E$25*'Sticky Wild'!$F$25</f>
        <v>0</v>
      </c>
      <c r="O4" s="9">
        <f>'Sticky Wild'!$B$25*0*0*'Sticky Wild'!$E$25*0</f>
        <v>0</v>
      </c>
      <c r="P4" s="9">
        <f>'Sticky Wild'!$B$25*0*0*0*'Sticky Wild'!$F$25</f>
        <v>0</v>
      </c>
      <c r="Q4" s="9">
        <f>'Sticky Wild'!$B$25*0*0*0*0</f>
        <v>0</v>
      </c>
      <c r="R4" s="9">
        <f>0*'Sticky Wild'!$C$25*'Sticky Wild'!$D$25*'Sticky Wild'!$E$25*'Sticky Wild'!$F$25</f>
        <v>0</v>
      </c>
      <c r="S4" s="9">
        <f>0*'Sticky Wild'!$C$25*'Sticky Wild'!$D$25*'Sticky Wild'!$E$25*0</f>
        <v>0</v>
      </c>
      <c r="T4" s="9">
        <f>0*'Sticky Wild'!$C$25*'Sticky Wild'!$D$25*0*'Sticky Wild'!$F$25</f>
        <v>0</v>
      </c>
      <c r="U4" s="9">
        <f>0*'Sticky Wild'!$C$25*'Sticky Wild'!$D$25*0*0</f>
        <v>0</v>
      </c>
      <c r="V4" s="9">
        <f>0*'Sticky Wild'!$C$25*0*'Sticky Wild'!$E$25*'Sticky Wild'!$F$25</f>
        <v>0</v>
      </c>
      <c r="W4" s="9">
        <f>0*'Sticky Wild'!$C$25*0*'Sticky Wild'!$E$25*0</f>
        <v>0</v>
      </c>
      <c r="X4" s="9">
        <f>0*'Sticky Wild'!$C$25*0*0*'Sticky Wild'!$F$25</f>
        <v>0</v>
      </c>
      <c r="Y4" s="9">
        <f>0*'Sticky Wild'!$C$25*0*0*0</f>
        <v>0</v>
      </c>
      <c r="Z4" s="9">
        <f>0*0*'Sticky Wild'!$D$25*'Sticky Wild'!$E$25*'Sticky Wild'!$F$25</f>
        <v>0</v>
      </c>
      <c r="AA4" s="9">
        <f>0*0*'Sticky Wild'!$D$25*'Sticky Wild'!$E$25*0</f>
        <v>0</v>
      </c>
      <c r="AB4" s="9">
        <f>0*0*'Sticky Wild'!$D$25*0*'Sticky Wild'!$F$25</f>
        <v>0</v>
      </c>
      <c r="AC4" s="9">
        <f>0*0*'Sticky Wild'!$D$25*0*0</f>
        <v>0</v>
      </c>
      <c r="AD4" s="9">
        <f>0*0*0*'Sticky Wild'!$E$25*'Sticky Wild'!$F$25</f>
        <v>0</v>
      </c>
      <c r="AE4" s="9">
        <f>0*0*0*'Sticky Wild'!$E$25*0</f>
        <v>0</v>
      </c>
      <c r="AF4" s="9">
        <f>0*0*0*0*'Sticky Wild'!$F$25</f>
        <v>0</v>
      </c>
      <c r="AG4" s="9">
        <f>0*0*0*0*0</f>
        <v>0</v>
      </c>
    </row>
    <row r="5" spans="1:33" ht="15" customHeight="1">
      <c r="A5" s="2" t="str">
        <f>DEC2BIN(1,5)</f>
        <v>00001</v>
      </c>
      <c r="B5" s="9">
        <f>'Sticky Wild'!$B$25*'Sticky Wild'!$C$25*'Sticky Wild'!$D$25*'Sticky Wild'!$E$25*(1-'Sticky Wild'!$F$25)</f>
        <v>6.2500000000000028E-2</v>
      </c>
      <c r="C5" s="9">
        <f>'Sticky Wild'!$B$25*'Sticky Wild'!$C$25*'Sticky Wild'!$D$25*'Sticky Wild'!$E$25*1</f>
        <v>0.75</v>
      </c>
      <c r="D5" s="9">
        <f>'Sticky Wild'!$B$25*'Sticky Wild'!$C$25*'Sticky Wild'!$D$25*0*(1-'Sticky Wild'!$F$25)</f>
        <v>0</v>
      </c>
      <c r="E5" s="9">
        <f>'Sticky Wild'!$B$25*'Sticky Wild'!$C$25*'Sticky Wild'!$D$25*0*1</f>
        <v>0</v>
      </c>
      <c r="F5" s="9">
        <f>'Sticky Wild'!$B$25*'Sticky Wild'!$C$25*0*'Sticky Wild'!$E$25*(1-'Sticky Wild'!$F$25)</f>
        <v>0</v>
      </c>
      <c r="G5" s="9">
        <f>'Sticky Wild'!$B$25*'Sticky Wild'!$C$25*0*'Sticky Wild'!$E$25*1</f>
        <v>0</v>
      </c>
      <c r="H5" s="9">
        <f>'Sticky Wild'!$B$25*'Sticky Wild'!$C$25*0*0*(1-'Sticky Wild'!$F$25)</f>
        <v>0</v>
      </c>
      <c r="I5" s="9">
        <f>'Sticky Wild'!$B$25*'Sticky Wild'!$C$25*0*0*1</f>
        <v>0</v>
      </c>
      <c r="J5" s="9">
        <f>'Sticky Wild'!$B$25*0*'Sticky Wild'!$D$25*'Sticky Wild'!$E$25*(1-'Sticky Wild'!$F$25)</f>
        <v>0</v>
      </c>
      <c r="K5" s="9">
        <f>'Sticky Wild'!$B$25*0*'Sticky Wild'!$D$25*'Sticky Wild'!$E$25*1</f>
        <v>0</v>
      </c>
      <c r="L5" s="9">
        <f>'Sticky Wild'!$B$25*0*'Sticky Wild'!$D$25*0*(1-'Sticky Wild'!$F$25)</f>
        <v>0</v>
      </c>
      <c r="M5" s="9">
        <f>'Sticky Wild'!$B$25*0*'Sticky Wild'!$D$25*0*1</f>
        <v>0</v>
      </c>
      <c r="N5" s="9">
        <f>'Sticky Wild'!$B$25*0*0*'Sticky Wild'!$E$25*(1-'Sticky Wild'!$F$25)</f>
        <v>0</v>
      </c>
      <c r="O5" s="9">
        <f>'Sticky Wild'!$B$25*0*0*'Sticky Wild'!$E$25*1</f>
        <v>0</v>
      </c>
      <c r="P5" s="9">
        <f>'Sticky Wild'!$B$25*0*0*0*(1-'Sticky Wild'!$F$25)</f>
        <v>0</v>
      </c>
      <c r="Q5" s="9">
        <f>'Sticky Wild'!$B$25*0*0*0*1</f>
        <v>0</v>
      </c>
      <c r="R5" s="9">
        <f>0*'Sticky Wild'!$C$25*'Sticky Wild'!$D$25*'Sticky Wild'!$E$25*(1-'Sticky Wild'!$F$25)</f>
        <v>0</v>
      </c>
      <c r="S5" s="9">
        <f>0*'Sticky Wild'!$C$25*'Sticky Wild'!$D$25*'Sticky Wild'!$E$25*1</f>
        <v>0</v>
      </c>
      <c r="T5" s="9">
        <f>0*'Sticky Wild'!$C$25*'Sticky Wild'!$D$25*0*(1-'Sticky Wild'!$F$25)</f>
        <v>0</v>
      </c>
      <c r="U5" s="9">
        <f>0*'Sticky Wild'!$C$25*'Sticky Wild'!$D$25*0*1</f>
        <v>0</v>
      </c>
      <c r="V5" s="9">
        <f>0*'Sticky Wild'!$C$25*0*'Sticky Wild'!$E$25*(1-'Sticky Wild'!$F$25)</f>
        <v>0</v>
      </c>
      <c r="W5" s="9">
        <f>0*'Sticky Wild'!$C$25*0*'Sticky Wild'!$E$25*1</f>
        <v>0</v>
      </c>
      <c r="X5" s="9">
        <f>0*'Sticky Wild'!$C$25*0*0*(1-'Sticky Wild'!$F$25)</f>
        <v>0</v>
      </c>
      <c r="Y5" s="9">
        <f>0*'Sticky Wild'!$C$25*0*0*1</f>
        <v>0</v>
      </c>
      <c r="Z5" s="9">
        <f>0*0*'Sticky Wild'!$D$25*'Sticky Wild'!$E$25*(1-'Sticky Wild'!$F$25)</f>
        <v>0</v>
      </c>
      <c r="AA5" s="9">
        <f>0*0*'Sticky Wild'!$D$25*'Sticky Wild'!$E$25*1</f>
        <v>0</v>
      </c>
      <c r="AB5" s="9">
        <f>0*0*'Sticky Wild'!$D$25*0*(1-'Sticky Wild'!$F$25)</f>
        <v>0</v>
      </c>
      <c r="AC5" s="9">
        <f>0*0*'Sticky Wild'!$D$25*0*1</f>
        <v>0</v>
      </c>
      <c r="AD5" s="9">
        <f>0*0*0*'Sticky Wild'!$E$25*(1-'Sticky Wild'!$F$25)</f>
        <v>0</v>
      </c>
      <c r="AE5" s="9">
        <f>0*0*0*'Sticky Wild'!$E$25*1</f>
        <v>0</v>
      </c>
      <c r="AF5" s="9">
        <f>0*0*0*0*(1-'Sticky Wild'!$F$25)</f>
        <v>0</v>
      </c>
      <c r="AG5" s="9">
        <f>0*0*0*0*1</f>
        <v>0</v>
      </c>
    </row>
    <row r="6" spans="1:33" ht="15" customHeight="1">
      <c r="A6" s="2" t="str">
        <f>DEC2BIN(2,5)</f>
        <v>00010</v>
      </c>
      <c r="B6" s="9">
        <f>'Sticky Wild'!$B$25*'Sticky Wild'!$C$25*'Sticky Wild'!$D$25*(1-'Sticky Wild'!$E$25)*'Sticky Wild'!$F$25</f>
        <v>5.729166666666663E-2</v>
      </c>
      <c r="C6" s="9">
        <f>'Sticky Wild'!$B$25*'Sticky Wild'!$C$25*'Sticky Wild'!$D$25*(1-'Sticky Wild'!$E$25)*0</f>
        <v>0</v>
      </c>
      <c r="D6" s="9">
        <f>'Sticky Wild'!$B$25*'Sticky Wild'!$C$25*'Sticky Wild'!$D$25*1*'Sticky Wild'!$F$25</f>
        <v>0.74479166666666663</v>
      </c>
      <c r="E6" s="9">
        <f>'Sticky Wild'!$B$25*'Sticky Wild'!$C$25*'Sticky Wild'!$D$25*1*0</f>
        <v>0</v>
      </c>
      <c r="F6" s="9">
        <f>'Sticky Wild'!$B$25*'Sticky Wild'!$C$25*0*(1-'Sticky Wild'!$E$25)*'Sticky Wild'!$F$25</f>
        <v>0</v>
      </c>
      <c r="G6" s="9">
        <f>'Sticky Wild'!$B$25*'Sticky Wild'!$C$25*0*(1-'Sticky Wild'!$E$25)*0</f>
        <v>0</v>
      </c>
      <c r="H6" s="9">
        <f>'Sticky Wild'!$B$25*'Sticky Wild'!$C$25*0*1*'Sticky Wild'!$F$25</f>
        <v>0</v>
      </c>
      <c r="I6" s="9">
        <f>'Sticky Wild'!$B$25*'Sticky Wild'!$C$25*0*1*0</f>
        <v>0</v>
      </c>
      <c r="J6" s="9">
        <f>'Sticky Wild'!$B$25*0*'Sticky Wild'!$D$25*(1-'Sticky Wild'!$E$25)*'Sticky Wild'!$F$25</f>
        <v>0</v>
      </c>
      <c r="K6" s="9">
        <f>'Sticky Wild'!$B$25*0*'Sticky Wild'!$D$25*(1-'Sticky Wild'!$E$25)*0</f>
        <v>0</v>
      </c>
      <c r="L6" s="9">
        <f>'Sticky Wild'!$B$25*0*'Sticky Wild'!$D$25*1*'Sticky Wild'!$F$25</f>
        <v>0</v>
      </c>
      <c r="M6" s="9">
        <f>'Sticky Wild'!$B$25*0*'Sticky Wild'!$D$25*1*0</f>
        <v>0</v>
      </c>
      <c r="N6" s="9">
        <f>'Sticky Wild'!$B$25*0*0*(1-'Sticky Wild'!$E$25)*'Sticky Wild'!$F$25</f>
        <v>0</v>
      </c>
      <c r="O6" s="9">
        <f>'Sticky Wild'!$B$25*0*0*(1-'Sticky Wild'!$E$25)*0</f>
        <v>0</v>
      </c>
      <c r="P6" s="9">
        <f>'Sticky Wild'!$B$25*0*0*1*'Sticky Wild'!$F$25</f>
        <v>0</v>
      </c>
      <c r="Q6" s="9">
        <f>'Sticky Wild'!$B$25*0*0*1*0</f>
        <v>0</v>
      </c>
      <c r="R6" s="9">
        <f>0*'Sticky Wild'!$C$25*'Sticky Wild'!$D$25*(1-'Sticky Wild'!$E$25)*'Sticky Wild'!$F$25</f>
        <v>0</v>
      </c>
      <c r="S6" s="9">
        <f>0*'Sticky Wild'!$C$25*'Sticky Wild'!$D$25*(1-'Sticky Wild'!$E$25)*0</f>
        <v>0</v>
      </c>
      <c r="T6" s="9">
        <f>0*'Sticky Wild'!$C$25*'Sticky Wild'!$D$25*1*'Sticky Wild'!$F$25</f>
        <v>0</v>
      </c>
      <c r="U6" s="9">
        <f>0*'Sticky Wild'!$C$25*'Sticky Wild'!$D$25*1*0</f>
        <v>0</v>
      </c>
      <c r="V6" s="9">
        <f>0*'Sticky Wild'!$C$25*0*(1-'Sticky Wild'!$E$25)*'Sticky Wild'!$F$25</f>
        <v>0</v>
      </c>
      <c r="W6" s="9">
        <f>0*'Sticky Wild'!$C$25*0*(1-'Sticky Wild'!$E$25)*0</f>
        <v>0</v>
      </c>
      <c r="X6" s="9">
        <f>0*'Sticky Wild'!$C$25*0*1*'Sticky Wild'!$F$25</f>
        <v>0</v>
      </c>
      <c r="Y6" s="9">
        <f>0*'Sticky Wild'!$C$25*0*1*0</f>
        <v>0</v>
      </c>
      <c r="Z6" s="9">
        <f>0*0*'Sticky Wild'!$D$25*(1-'Sticky Wild'!$E$25)*'Sticky Wild'!$F$25</f>
        <v>0</v>
      </c>
      <c r="AA6" s="9">
        <f>0*0*'Sticky Wild'!$D$25*(1-'Sticky Wild'!$E$25)*0</f>
        <v>0</v>
      </c>
      <c r="AB6" s="9">
        <f>0*0*'Sticky Wild'!$D$25*1*'Sticky Wild'!$F$25</f>
        <v>0</v>
      </c>
      <c r="AC6" s="9">
        <f>0*0*'Sticky Wild'!$D$25*1*0</f>
        <v>0</v>
      </c>
      <c r="AD6" s="9">
        <f>0*0*0*(1-'Sticky Wild'!$E$25)*'Sticky Wild'!$F$25</f>
        <v>0</v>
      </c>
      <c r="AE6" s="9">
        <f>0*0*0*(1-'Sticky Wild'!$E$25)*0</f>
        <v>0</v>
      </c>
      <c r="AF6" s="9">
        <f>0*0*0*1*'Sticky Wild'!$F$25</f>
        <v>0</v>
      </c>
      <c r="AG6" s="9">
        <f>0*0*0*1*0</f>
        <v>0</v>
      </c>
    </row>
    <row r="7" spans="1:33" ht="15" customHeight="1">
      <c r="A7" s="2" t="str">
        <f>DEC2BIN(3,5)</f>
        <v>00011</v>
      </c>
      <c r="B7" s="9">
        <f>'Sticky Wild'!$B$25*'Sticky Wild'!$C$25*'Sticky Wild'!$D$25*(1-'Sticky Wild'!$E$25)*(1-'Sticky Wild'!$F$25)</f>
        <v>5.2083333333333322E-3</v>
      </c>
      <c r="C7" s="9">
        <f>'Sticky Wild'!$B$25*'Sticky Wild'!$C$25*'Sticky Wild'!$D$25*(1-'Sticky Wild'!$E$25)*1</f>
        <v>6.2499999999999958E-2</v>
      </c>
      <c r="D7" s="9">
        <f>'Sticky Wild'!$B$25*'Sticky Wild'!$C$25*'Sticky Wild'!$D$25*1*(1-'Sticky Wild'!$F$25)</f>
        <v>6.770833333333337E-2</v>
      </c>
      <c r="E7" s="9">
        <f>'Sticky Wild'!$B$25*'Sticky Wild'!$C$25*'Sticky Wild'!$D$25*1*1</f>
        <v>0.8125</v>
      </c>
      <c r="F7" s="9">
        <f>'Sticky Wild'!$B$25*'Sticky Wild'!$C$25*0*(1-'Sticky Wild'!$E$25)*(1-'Sticky Wild'!$F$25)</f>
        <v>0</v>
      </c>
      <c r="G7" s="9">
        <f>'Sticky Wild'!$B$25*'Sticky Wild'!$C$25*0*(1-'Sticky Wild'!$E$25)*1</f>
        <v>0</v>
      </c>
      <c r="H7" s="9">
        <f>'Sticky Wild'!$B$25*'Sticky Wild'!$C$25*0*1*(1-'Sticky Wild'!$F$25)</f>
        <v>0</v>
      </c>
      <c r="I7" s="9">
        <f>'Sticky Wild'!$B$25*'Sticky Wild'!$C$25*0*1*1</f>
        <v>0</v>
      </c>
      <c r="J7" s="9">
        <f>'Sticky Wild'!$B$25*0*'Sticky Wild'!$D$25*(1-'Sticky Wild'!$E$25)*(1-'Sticky Wild'!$F$25)</f>
        <v>0</v>
      </c>
      <c r="K7" s="9">
        <f>'Sticky Wild'!$B$25*0*'Sticky Wild'!$D$25*(1-'Sticky Wild'!$E$25)*1</f>
        <v>0</v>
      </c>
      <c r="L7" s="9">
        <f>'Sticky Wild'!$B$25*0*'Sticky Wild'!$D$25*1*(1-'Sticky Wild'!$F$25)</f>
        <v>0</v>
      </c>
      <c r="M7" s="9">
        <f>'Sticky Wild'!$B$25*0*'Sticky Wild'!$D$25*1*1</f>
        <v>0</v>
      </c>
      <c r="N7" s="9">
        <f>'Sticky Wild'!$B$25*0*0*(1-'Sticky Wild'!$E$25)*(1-'Sticky Wild'!$F$25)</f>
        <v>0</v>
      </c>
      <c r="O7" s="9">
        <f>'Sticky Wild'!$B$25*0*0*(1-'Sticky Wild'!$E$25)*1</f>
        <v>0</v>
      </c>
      <c r="P7" s="9">
        <f>'Sticky Wild'!$B$25*0*0*1*(1-'Sticky Wild'!$F$25)</f>
        <v>0</v>
      </c>
      <c r="Q7" s="9">
        <f>'Sticky Wild'!$B$25*0*0*1*1</f>
        <v>0</v>
      </c>
      <c r="R7" s="9">
        <f>0*'Sticky Wild'!$C$25*'Sticky Wild'!$D$25*(1-'Sticky Wild'!$E$25)*(1-'Sticky Wild'!$F$25)</f>
        <v>0</v>
      </c>
      <c r="S7" s="9">
        <f>0*'Sticky Wild'!$C$25*'Sticky Wild'!$D$25*(1-'Sticky Wild'!$E$25)*1</f>
        <v>0</v>
      </c>
      <c r="T7" s="9">
        <f>0*'Sticky Wild'!$C$25*'Sticky Wild'!$D$25*1*(1-'Sticky Wild'!$F$25)</f>
        <v>0</v>
      </c>
      <c r="U7" s="9">
        <f>0*'Sticky Wild'!$C$25*'Sticky Wild'!$D$25*1*1</f>
        <v>0</v>
      </c>
      <c r="V7" s="9">
        <f>0*'Sticky Wild'!$C$25*0*(1-'Sticky Wild'!$E$25)*(1-'Sticky Wild'!$F$25)</f>
        <v>0</v>
      </c>
      <c r="W7" s="9">
        <f>0*'Sticky Wild'!$C$25*0*(1-'Sticky Wild'!$E$25)*1</f>
        <v>0</v>
      </c>
      <c r="X7" s="9">
        <f>0*'Sticky Wild'!$C$25*0*1*(1-'Sticky Wild'!$F$25)</f>
        <v>0</v>
      </c>
      <c r="Y7" s="9">
        <f>0*'Sticky Wild'!$C$25*0*1*1</f>
        <v>0</v>
      </c>
      <c r="Z7" s="9">
        <f>0*0*'Sticky Wild'!$D$25*(1-'Sticky Wild'!$E$25)*(1-'Sticky Wild'!$F$25)</f>
        <v>0</v>
      </c>
      <c r="AA7" s="9">
        <f>0*0*'Sticky Wild'!$D$25*(1-'Sticky Wild'!$E$25)*1</f>
        <v>0</v>
      </c>
      <c r="AB7" s="9">
        <f>0*0*'Sticky Wild'!$D$25*1*(1-'Sticky Wild'!$F$25)</f>
        <v>0</v>
      </c>
      <c r="AC7" s="9">
        <f>0*0*'Sticky Wild'!$D$25*1*1</f>
        <v>0</v>
      </c>
      <c r="AD7" s="9">
        <f>0*0*0*(1-'Sticky Wild'!$E$25)*(1-'Sticky Wild'!$F$25)</f>
        <v>0</v>
      </c>
      <c r="AE7" s="9">
        <f>0*0*0*(1-'Sticky Wild'!$E$25)*1</f>
        <v>0</v>
      </c>
      <c r="AF7" s="9">
        <f>0*0*0*1*(1-'Sticky Wild'!$F$25)</f>
        <v>0</v>
      </c>
      <c r="AG7" s="9">
        <f>0*0*0*1*1</f>
        <v>0</v>
      </c>
    </row>
    <row r="8" spans="1:33" ht="15" customHeight="1">
      <c r="A8" s="2" t="str">
        <f>DEC2BIN(4,5)</f>
        <v>00100</v>
      </c>
      <c r="B8" s="9">
        <f>'Sticky Wild'!$B$25*'Sticky Wild'!$C$25*(1-'Sticky Wild'!$D$25)*'Sticky Wild'!$E$25*'Sticky Wild'!$F$25</f>
        <v>5.2884615384615363E-2</v>
      </c>
      <c r="C8" s="9">
        <f>'Sticky Wild'!$B$25*'Sticky Wild'!$C$25*(1-'Sticky Wild'!$D$25)*'Sticky Wild'!$E$25*0</f>
        <v>0</v>
      </c>
      <c r="D8" s="9">
        <f>'Sticky Wild'!$B$25*'Sticky Wild'!$C$25*(1-'Sticky Wild'!$D$25)*0*'Sticky Wild'!$F$25</f>
        <v>0</v>
      </c>
      <c r="E8" s="9">
        <f>'Sticky Wild'!$B$25*'Sticky Wild'!$C$25*(1-'Sticky Wild'!$D$25)*0*0</f>
        <v>0</v>
      </c>
      <c r="F8" s="9">
        <f>'Sticky Wild'!$B$25*'Sticky Wild'!$C$25*1*'Sticky Wild'!$E$25*'Sticky Wild'!$F$25</f>
        <v>0.74038461538461542</v>
      </c>
      <c r="G8" s="9">
        <f>'Sticky Wild'!$B$25*'Sticky Wild'!$C$25*1*'Sticky Wild'!$E$25*0</f>
        <v>0</v>
      </c>
      <c r="H8" s="9">
        <f>'Sticky Wild'!$B$25*'Sticky Wild'!$C$25*1*0*'Sticky Wild'!$F$25</f>
        <v>0</v>
      </c>
      <c r="I8" s="9">
        <f>'Sticky Wild'!$B$25*'Sticky Wild'!$C$25*1*0*0</f>
        <v>0</v>
      </c>
      <c r="J8" s="9">
        <f>'Sticky Wild'!$B$25*0*(1-'Sticky Wild'!$D$25)*'Sticky Wild'!$E$25*'Sticky Wild'!$F$25</f>
        <v>0</v>
      </c>
      <c r="K8" s="9">
        <f>'Sticky Wild'!$B$25*0*(1-'Sticky Wild'!$D$25)*'Sticky Wild'!$E$25*0</f>
        <v>0</v>
      </c>
      <c r="L8" s="9">
        <f>'Sticky Wild'!$B$25*0*(1-'Sticky Wild'!$D$25)*0*'Sticky Wild'!$F$25</f>
        <v>0</v>
      </c>
      <c r="M8" s="9">
        <f>'Sticky Wild'!$B$25*0*(1-'Sticky Wild'!$D$25)*0*0</f>
        <v>0</v>
      </c>
      <c r="N8" s="9">
        <f>'Sticky Wild'!$B$25*0*1*'Sticky Wild'!$E$25*'Sticky Wild'!$F$25</f>
        <v>0</v>
      </c>
      <c r="O8" s="9">
        <f>'Sticky Wild'!$B$25*0*1*'Sticky Wild'!$E$25*0</f>
        <v>0</v>
      </c>
      <c r="P8" s="9">
        <f>'Sticky Wild'!$B$25*0*1*0*'Sticky Wild'!$F$25</f>
        <v>0</v>
      </c>
      <c r="Q8" s="9">
        <f>'Sticky Wild'!$B$25*0*1*0*0</f>
        <v>0</v>
      </c>
      <c r="R8" s="9">
        <f>0*'Sticky Wild'!$C$25*(1-'Sticky Wild'!$D$25)*'Sticky Wild'!$E$25*'Sticky Wild'!$F$25</f>
        <v>0</v>
      </c>
      <c r="S8" s="9">
        <f>0*'Sticky Wild'!$C$25*(1-'Sticky Wild'!$D$25)*'Sticky Wild'!$E$25*0</f>
        <v>0</v>
      </c>
      <c r="T8" s="9">
        <f>0*'Sticky Wild'!$C$25*(1-'Sticky Wild'!$D$25)*0*'Sticky Wild'!$F$25</f>
        <v>0</v>
      </c>
      <c r="U8" s="9">
        <f>0*'Sticky Wild'!$C$25*(1-'Sticky Wild'!$D$25)*0*0</f>
        <v>0</v>
      </c>
      <c r="V8" s="9">
        <f>0*'Sticky Wild'!$C$25*1*'Sticky Wild'!$E$25*'Sticky Wild'!$F$25</f>
        <v>0</v>
      </c>
      <c r="W8" s="9">
        <f>0*'Sticky Wild'!$C$25*1*'Sticky Wild'!$E$25*0</f>
        <v>0</v>
      </c>
      <c r="X8" s="9">
        <f>0*'Sticky Wild'!$C$25*1*0*'Sticky Wild'!$F$25</f>
        <v>0</v>
      </c>
      <c r="Y8" s="9">
        <f>0*'Sticky Wild'!$C$25*1*0*0</f>
        <v>0</v>
      </c>
      <c r="Z8" s="9">
        <f>0*0*(1-'Sticky Wild'!$D$25)*'Sticky Wild'!$E$25*'Sticky Wild'!$F$25</f>
        <v>0</v>
      </c>
      <c r="AA8" s="9">
        <f>0*0*(1-'Sticky Wild'!$D$25)*'Sticky Wild'!$E$25*0</f>
        <v>0</v>
      </c>
      <c r="AB8" s="9">
        <f>0*0*(1-'Sticky Wild'!$D$25)*0*'Sticky Wild'!$F$25</f>
        <v>0</v>
      </c>
      <c r="AC8" s="9">
        <f>0*0*(1-'Sticky Wild'!$D$25)*0*0</f>
        <v>0</v>
      </c>
      <c r="AD8" s="9">
        <f>0*0*1*'Sticky Wild'!$E$25*'Sticky Wild'!$F$25</f>
        <v>0</v>
      </c>
      <c r="AE8" s="9">
        <f>0*0*1*'Sticky Wild'!$E$25*0</f>
        <v>0</v>
      </c>
      <c r="AF8" s="9">
        <f>0*0*1*0*'Sticky Wild'!$F$25</f>
        <v>0</v>
      </c>
      <c r="AG8" s="9">
        <f>0*0*1*0*0</f>
        <v>0</v>
      </c>
    </row>
    <row r="9" spans="1:33" ht="15" customHeight="1">
      <c r="A9" s="2" t="str">
        <f>DEC2BIN(5,5)</f>
        <v>00101</v>
      </c>
      <c r="B9" s="9">
        <f>'Sticky Wild'!$B$25*'Sticky Wild'!$C$25*(1-'Sticky Wild'!$D$25)*'Sticky Wild'!$E$25*(1-'Sticky Wild'!$F$25)</f>
        <v>4.807692307692308E-3</v>
      </c>
      <c r="C9" s="9">
        <f>'Sticky Wild'!$B$25*'Sticky Wild'!$C$25*(1-'Sticky Wild'!$D$25)*'Sticky Wild'!$E$25*1</f>
        <v>5.7692307692307668E-2</v>
      </c>
      <c r="D9" s="9">
        <f>'Sticky Wild'!$B$25*'Sticky Wild'!$C$25*(1-'Sticky Wild'!$D$25)*0*(1-'Sticky Wild'!$F$25)</f>
        <v>0</v>
      </c>
      <c r="E9" s="9">
        <f>'Sticky Wild'!$B$25*'Sticky Wild'!$C$25*(1-'Sticky Wild'!$D$25)*0*1</f>
        <v>0</v>
      </c>
      <c r="F9" s="9">
        <f>'Sticky Wild'!$B$25*'Sticky Wild'!$C$25*1*'Sticky Wild'!$E$25*(1-'Sticky Wild'!$F$25)</f>
        <v>6.7307692307692332E-2</v>
      </c>
      <c r="G9" s="9">
        <f>'Sticky Wild'!$B$25*'Sticky Wild'!$C$25*1*'Sticky Wild'!$E$25*1</f>
        <v>0.80769230769230771</v>
      </c>
      <c r="H9" s="9">
        <f>'Sticky Wild'!$B$25*'Sticky Wild'!$C$25*1*0*(1-'Sticky Wild'!$F$25)</f>
        <v>0</v>
      </c>
      <c r="I9" s="9">
        <f>'Sticky Wild'!$B$25*'Sticky Wild'!$C$25*1*0*1</f>
        <v>0</v>
      </c>
      <c r="J9" s="9">
        <f>'Sticky Wild'!$B$25*0*(1-'Sticky Wild'!$D$25)*'Sticky Wild'!$E$25*(1-'Sticky Wild'!$F$25)</f>
        <v>0</v>
      </c>
      <c r="K9" s="9">
        <f>'Sticky Wild'!$B$25*0*(1-'Sticky Wild'!$D$25)*'Sticky Wild'!$E$25*1</f>
        <v>0</v>
      </c>
      <c r="L9" s="9">
        <f>'Sticky Wild'!$B$25*0*(1-'Sticky Wild'!$D$25)*0*(1-'Sticky Wild'!$F$25)</f>
        <v>0</v>
      </c>
      <c r="M9" s="9">
        <f>'Sticky Wild'!$B$25*0*(1-'Sticky Wild'!$D$25)*0*1</f>
        <v>0</v>
      </c>
      <c r="N9" s="9">
        <f>'Sticky Wild'!$B$25*0*1*'Sticky Wild'!$E$25*(1-'Sticky Wild'!$F$25)</f>
        <v>0</v>
      </c>
      <c r="O9" s="9">
        <f>'Sticky Wild'!$B$25*0*1*'Sticky Wild'!$E$25*1</f>
        <v>0</v>
      </c>
      <c r="P9" s="9">
        <f>'Sticky Wild'!$B$25*0*1*0*(1-'Sticky Wild'!$F$25)</f>
        <v>0</v>
      </c>
      <c r="Q9" s="9">
        <f>'Sticky Wild'!$B$25*0*1*0*1</f>
        <v>0</v>
      </c>
      <c r="R9" s="9">
        <f>0*'Sticky Wild'!$C$25*(1-'Sticky Wild'!$D$25)*'Sticky Wild'!$E$25*(1-'Sticky Wild'!$F$25)</f>
        <v>0</v>
      </c>
      <c r="S9" s="9">
        <f>0*'Sticky Wild'!$C$25*(1-'Sticky Wild'!$D$25)*'Sticky Wild'!$E$25*1</f>
        <v>0</v>
      </c>
      <c r="T9" s="9">
        <f>0*'Sticky Wild'!$C$25*(1-'Sticky Wild'!$D$25)*0*(1-'Sticky Wild'!$F$25)</f>
        <v>0</v>
      </c>
      <c r="U9" s="9">
        <f>0*'Sticky Wild'!$C$25*(1-'Sticky Wild'!$D$25)*0*1</f>
        <v>0</v>
      </c>
      <c r="V9" s="9">
        <f>0*'Sticky Wild'!$C$25*1*'Sticky Wild'!$E$25*(1-'Sticky Wild'!$F$25)</f>
        <v>0</v>
      </c>
      <c r="W9" s="9">
        <f>0*'Sticky Wild'!$C$25*1*'Sticky Wild'!$E$25*1</f>
        <v>0</v>
      </c>
      <c r="X9" s="9">
        <f>0*'Sticky Wild'!$C$25*1*0*(1-'Sticky Wild'!$F$25)</f>
        <v>0</v>
      </c>
      <c r="Y9" s="9">
        <f>0*'Sticky Wild'!$C$25*1*0*1</f>
        <v>0</v>
      </c>
      <c r="Z9" s="9">
        <f>0*0*(1-'Sticky Wild'!$D$25)*'Sticky Wild'!$E$25*(1-'Sticky Wild'!$F$25)</f>
        <v>0</v>
      </c>
      <c r="AA9" s="9">
        <f>0*0*(1-'Sticky Wild'!$D$25)*'Sticky Wild'!$E$25*1</f>
        <v>0</v>
      </c>
      <c r="AB9" s="9">
        <f>0*0*(1-'Sticky Wild'!$D$25)*0*(1-'Sticky Wild'!$F$25)</f>
        <v>0</v>
      </c>
      <c r="AC9" s="9">
        <f>0*0*(1-'Sticky Wild'!$D$25)*0*1</f>
        <v>0</v>
      </c>
      <c r="AD9" s="9">
        <f>0*0*1*'Sticky Wild'!$E$25*(1-'Sticky Wild'!$F$25)</f>
        <v>0</v>
      </c>
      <c r="AE9" s="9">
        <f>0*0*1*'Sticky Wild'!$E$25*1</f>
        <v>0</v>
      </c>
      <c r="AF9" s="9">
        <f>0*0*1*0*(1-'Sticky Wild'!$F$25)</f>
        <v>0</v>
      </c>
      <c r="AG9" s="9">
        <f>0*0*1*0*1</f>
        <v>0</v>
      </c>
    </row>
    <row r="10" spans="1:33" ht="15" customHeight="1">
      <c r="A10" s="2" t="str">
        <f>DEC2BIN(6,5)</f>
        <v>00110</v>
      </c>
      <c r="B10" s="9">
        <f>'Sticky Wild'!$B$25*'Sticky Wild'!$C$25*(1-'Sticky Wild'!$D$25)*(1-'Sticky Wild'!$E$25)*'Sticky Wild'!$F$25</f>
        <v>4.4070512820512777E-3</v>
      </c>
      <c r="C10" s="9">
        <f>'Sticky Wild'!$B$25*'Sticky Wild'!$C$25*(1-'Sticky Wild'!$D$25)*(1-'Sticky Wild'!$E$25)*0</f>
        <v>0</v>
      </c>
      <c r="D10" s="9">
        <f>'Sticky Wild'!$B$25*'Sticky Wild'!$C$25*(1-'Sticky Wild'!$D$25)*1*'Sticky Wild'!$F$25</f>
        <v>5.7291666666666637E-2</v>
      </c>
      <c r="E10" s="9">
        <f>'Sticky Wild'!$B$25*'Sticky Wild'!$C$25*(1-'Sticky Wild'!$D$25)*1*0</f>
        <v>0</v>
      </c>
      <c r="F10" s="9">
        <f>'Sticky Wild'!$B$25*'Sticky Wild'!$C$25*1*(1-'Sticky Wild'!$E$25)*'Sticky Wild'!$F$25</f>
        <v>6.1698717948717903E-2</v>
      </c>
      <c r="G10" s="9">
        <f>'Sticky Wild'!$B$25*'Sticky Wild'!$C$25*1*(1-'Sticky Wild'!$E$25)*0</f>
        <v>0</v>
      </c>
      <c r="H10" s="9">
        <f>'Sticky Wild'!$B$25*'Sticky Wild'!$C$25*1*1*'Sticky Wild'!$F$25</f>
        <v>0.80208333333333326</v>
      </c>
      <c r="I10" s="9">
        <f>'Sticky Wild'!$B$25*'Sticky Wild'!$C$25*1*1*0</f>
        <v>0</v>
      </c>
      <c r="J10" s="9">
        <f>'Sticky Wild'!$B$25*0*(1-'Sticky Wild'!$D$25)*(1-'Sticky Wild'!$E$25)*'Sticky Wild'!$F$25</f>
        <v>0</v>
      </c>
      <c r="K10" s="9">
        <f>'Sticky Wild'!$B$25*0*(1-'Sticky Wild'!$D$25)*(1-'Sticky Wild'!$E$25)*0</f>
        <v>0</v>
      </c>
      <c r="L10" s="9">
        <f>'Sticky Wild'!$B$25*0*(1-'Sticky Wild'!$D$25)*1*'Sticky Wild'!$F$25</f>
        <v>0</v>
      </c>
      <c r="M10" s="9">
        <f>'Sticky Wild'!$B$25*0*(1-'Sticky Wild'!$D$25)*1*0</f>
        <v>0</v>
      </c>
      <c r="N10" s="9">
        <f>'Sticky Wild'!$B$25*0*1*(1-'Sticky Wild'!$E$25)*'Sticky Wild'!$F$25</f>
        <v>0</v>
      </c>
      <c r="O10" s="9">
        <f>'Sticky Wild'!$B$25*0*1*(1-'Sticky Wild'!$E$25)*0</f>
        <v>0</v>
      </c>
      <c r="P10" s="9">
        <f>'Sticky Wild'!$B$25*0*1*1*'Sticky Wild'!$F$25</f>
        <v>0</v>
      </c>
      <c r="Q10" s="9">
        <f>'Sticky Wild'!$B$25*0*1*1*0</f>
        <v>0</v>
      </c>
      <c r="R10" s="9">
        <f>0*'Sticky Wild'!$C$25*(1-'Sticky Wild'!$D$25)*(1-'Sticky Wild'!$E$25)*'Sticky Wild'!$F$25</f>
        <v>0</v>
      </c>
      <c r="S10" s="9">
        <f>0*'Sticky Wild'!$C$25*(1-'Sticky Wild'!$D$25)*(1-'Sticky Wild'!$E$25)*0</f>
        <v>0</v>
      </c>
      <c r="T10" s="9">
        <f>0*'Sticky Wild'!$C$25*(1-'Sticky Wild'!$D$25)*1*'Sticky Wild'!$F$25</f>
        <v>0</v>
      </c>
      <c r="U10" s="9">
        <f>0*'Sticky Wild'!$C$25*(1-'Sticky Wild'!$D$25)*1*0</f>
        <v>0</v>
      </c>
      <c r="V10" s="9">
        <f>0*'Sticky Wild'!$C$25*1*(1-'Sticky Wild'!$E$25)*'Sticky Wild'!$F$25</f>
        <v>0</v>
      </c>
      <c r="W10" s="9">
        <f>0*'Sticky Wild'!$C$25*1*(1-'Sticky Wild'!$E$25)*0</f>
        <v>0</v>
      </c>
      <c r="X10" s="9">
        <f>0*'Sticky Wild'!$C$25*1*1*'Sticky Wild'!$F$25</f>
        <v>0</v>
      </c>
      <c r="Y10" s="9">
        <f>0*'Sticky Wild'!$C$25*1*1*0</f>
        <v>0</v>
      </c>
      <c r="Z10" s="9">
        <f>0*0*(1-'Sticky Wild'!$D$25)*(1-'Sticky Wild'!$E$25)*'Sticky Wild'!$F$25</f>
        <v>0</v>
      </c>
      <c r="AA10" s="9">
        <f>0*0*(1-'Sticky Wild'!$D$25)*(1-'Sticky Wild'!$E$25)*0</f>
        <v>0</v>
      </c>
      <c r="AB10" s="9">
        <f>0*0*(1-'Sticky Wild'!$D$25)*1*'Sticky Wild'!$F$25</f>
        <v>0</v>
      </c>
      <c r="AC10" s="9">
        <f>0*0*(1-'Sticky Wild'!$D$25)*1*0</f>
        <v>0</v>
      </c>
      <c r="AD10" s="9">
        <f>0*0*1*(1-'Sticky Wild'!$E$25)*'Sticky Wild'!$F$25</f>
        <v>0</v>
      </c>
      <c r="AE10" s="9">
        <f>0*0*1*(1-'Sticky Wild'!$E$25)*0</f>
        <v>0</v>
      </c>
      <c r="AF10" s="9">
        <f>0*0*1*1*'Sticky Wild'!$F$25</f>
        <v>0</v>
      </c>
      <c r="AG10" s="9">
        <f>0*0*1*1*0</f>
        <v>0</v>
      </c>
    </row>
    <row r="11" spans="1:33" ht="15" customHeight="1">
      <c r="A11" s="2" t="str">
        <f>DEC2BIN(7,5)</f>
        <v>00111</v>
      </c>
      <c r="B11" s="9">
        <f>'Sticky Wild'!$B$25*'Sticky Wild'!$C$25*(1-'Sticky Wild'!$D$25)*(1-'Sticky Wild'!$E$25)*(1-'Sticky Wild'!$F$25)</f>
        <v>4.0064102564102541E-4</v>
      </c>
      <c r="C11" s="9">
        <f>'Sticky Wild'!$B$25*'Sticky Wild'!$C$25*(1-'Sticky Wild'!$D$25)*(1-'Sticky Wild'!$E$25)*1</f>
        <v>4.8076923076923028E-3</v>
      </c>
      <c r="D11" s="9">
        <f>'Sticky Wild'!$B$25*'Sticky Wild'!$C$25*(1-'Sticky Wild'!$D$25)*1*(1-'Sticky Wild'!$F$25)</f>
        <v>5.208333333333333E-3</v>
      </c>
      <c r="E11" s="9">
        <f>'Sticky Wild'!$B$25*'Sticky Wild'!$C$25*(1-'Sticky Wild'!$D$25)*1*1</f>
        <v>6.2499999999999972E-2</v>
      </c>
      <c r="F11" s="9">
        <f>'Sticky Wild'!$B$25*'Sticky Wild'!$C$25*1*(1-'Sticky Wild'!$E$25)*(1-'Sticky Wild'!$F$25)</f>
        <v>5.6089743589743581E-3</v>
      </c>
      <c r="G11" s="9">
        <f>'Sticky Wild'!$B$25*'Sticky Wild'!$C$25*1*(1-'Sticky Wild'!$E$25)*1</f>
        <v>6.7307692307692263E-2</v>
      </c>
      <c r="H11" s="9">
        <f>'Sticky Wild'!$B$25*'Sticky Wild'!$C$25*1*1*(1-'Sticky Wild'!$F$25)</f>
        <v>7.2916666666666699E-2</v>
      </c>
      <c r="I11" s="9">
        <f>'Sticky Wild'!$B$25*'Sticky Wild'!$C$25*1*1*1</f>
        <v>0.875</v>
      </c>
      <c r="J11" s="9">
        <f>'Sticky Wild'!$B$25*0*(1-'Sticky Wild'!$D$25)*(1-'Sticky Wild'!$E$25)*(1-'Sticky Wild'!$F$25)</f>
        <v>0</v>
      </c>
      <c r="K11" s="9">
        <f>'Sticky Wild'!$B$25*0*(1-'Sticky Wild'!$D$25)*(1-'Sticky Wild'!$E$25)*1</f>
        <v>0</v>
      </c>
      <c r="L11" s="9">
        <f>'Sticky Wild'!$B$25*0*(1-'Sticky Wild'!$D$25)*1*(1-'Sticky Wild'!$F$25)</f>
        <v>0</v>
      </c>
      <c r="M11" s="9">
        <f>'Sticky Wild'!$B$25*0*(1-'Sticky Wild'!$D$25)*1*1</f>
        <v>0</v>
      </c>
      <c r="N11" s="9">
        <f>'Sticky Wild'!$B$25*0*1*(1-'Sticky Wild'!$E$25)*(1-'Sticky Wild'!$F$25)</f>
        <v>0</v>
      </c>
      <c r="O11" s="9">
        <f>'Sticky Wild'!$B$25*0*1*(1-'Sticky Wild'!$E$25)*1</f>
        <v>0</v>
      </c>
      <c r="P11" s="9">
        <f>'Sticky Wild'!$B$25*0*1*1*(1-'Sticky Wild'!$F$25)</f>
        <v>0</v>
      </c>
      <c r="Q11" s="9">
        <f>'Sticky Wild'!$B$25*0*1*1*1</f>
        <v>0</v>
      </c>
      <c r="R11" s="9">
        <f>0*'Sticky Wild'!$C$25*(1-'Sticky Wild'!$D$25)*(1-'Sticky Wild'!$E$25)*(1-'Sticky Wild'!$F$25)</f>
        <v>0</v>
      </c>
      <c r="S11" s="9">
        <f>0*'Sticky Wild'!$C$25*(1-'Sticky Wild'!$D$25)*(1-'Sticky Wild'!$E$25)*1</f>
        <v>0</v>
      </c>
      <c r="T11" s="9">
        <f>0*'Sticky Wild'!$C$25*(1-'Sticky Wild'!$D$25)*1*(1-'Sticky Wild'!$F$25)</f>
        <v>0</v>
      </c>
      <c r="U11" s="9">
        <f>0*'Sticky Wild'!$C$25*(1-'Sticky Wild'!$D$25)*1*1</f>
        <v>0</v>
      </c>
      <c r="V11" s="9">
        <f>0*'Sticky Wild'!$C$25*1*(1-'Sticky Wild'!$E$25)*(1-'Sticky Wild'!$F$25)</f>
        <v>0</v>
      </c>
      <c r="W11" s="9">
        <f>0*'Sticky Wild'!$C$25*1*(1-'Sticky Wild'!$E$25)*1</f>
        <v>0</v>
      </c>
      <c r="X11" s="9">
        <f>0*'Sticky Wild'!$C$25*1*1*(1-'Sticky Wild'!$F$25)</f>
        <v>0</v>
      </c>
      <c r="Y11" s="9">
        <f>0*'Sticky Wild'!$C$25*1*1*1</f>
        <v>0</v>
      </c>
      <c r="Z11" s="9">
        <f>0*0*(1-'Sticky Wild'!$D$25)*(1-'Sticky Wild'!$E$25)*(1-'Sticky Wild'!$F$25)</f>
        <v>0</v>
      </c>
      <c r="AA11" s="9">
        <f>0*0*(1-'Sticky Wild'!$D$25)*(1-'Sticky Wild'!$E$25)*1</f>
        <v>0</v>
      </c>
      <c r="AB11" s="9">
        <f>0*0*(1-'Sticky Wild'!$D$25)*1*(1-'Sticky Wild'!$F$25)</f>
        <v>0</v>
      </c>
      <c r="AC11" s="9">
        <f>0*0*(1-'Sticky Wild'!$D$25)*1*1</f>
        <v>0</v>
      </c>
      <c r="AD11" s="9">
        <f>0*0*1*(1-'Sticky Wild'!$E$25)*(1-'Sticky Wild'!$F$25)</f>
        <v>0</v>
      </c>
      <c r="AE11" s="9">
        <f>0*0*1*(1-'Sticky Wild'!$E$25)*1</f>
        <v>0</v>
      </c>
      <c r="AF11" s="9">
        <f>0*0*1*1*(1-'Sticky Wild'!$F$25)</f>
        <v>0</v>
      </c>
      <c r="AG11" s="9">
        <f>0*0*1*1*1</f>
        <v>0</v>
      </c>
    </row>
    <row r="12" spans="1:33" ht="15" customHeight="1">
      <c r="A12" s="2" t="str">
        <f>DEC2BIN(8,5)</f>
        <v>01000</v>
      </c>
      <c r="B12" s="9">
        <f>'Sticky Wild'!$B$25*(1-'Sticky Wild'!$C$25)*'Sticky Wild'!$D$25*'Sticky Wild'!$E$25*'Sticky Wild'!$F$25</f>
        <v>4.9107142857142849E-2</v>
      </c>
      <c r="C12" s="9">
        <f>'Sticky Wild'!$B$25*(1-'Sticky Wild'!$C$25)*'Sticky Wild'!$D$25*'Sticky Wild'!$E$25*0</f>
        <v>0</v>
      </c>
      <c r="D12" s="9">
        <f>'Sticky Wild'!$B$25*(1-'Sticky Wild'!$C$25)*'Sticky Wild'!$D$25*0*'Sticky Wild'!$F$25</f>
        <v>0</v>
      </c>
      <c r="E12" s="9">
        <f>'Sticky Wild'!$B$25*(1-'Sticky Wild'!$C$25)*'Sticky Wild'!$D$25*0*0</f>
        <v>0</v>
      </c>
      <c r="F12" s="9">
        <f>'Sticky Wild'!$B$25*(1-'Sticky Wild'!$C$25)*0*'Sticky Wild'!$E$25*'Sticky Wild'!$F$25</f>
        <v>0</v>
      </c>
      <c r="G12" s="9">
        <f>'Sticky Wild'!$B$25*(1-'Sticky Wild'!$C$25)*0*'Sticky Wild'!$E$25*0</f>
        <v>0</v>
      </c>
      <c r="H12" s="9">
        <f>'Sticky Wild'!$B$25*(1-'Sticky Wild'!$C$25)*0*0*'Sticky Wild'!$F$25</f>
        <v>0</v>
      </c>
      <c r="I12" s="9">
        <f>'Sticky Wild'!$B$25*(1-'Sticky Wild'!$C$25)*0*0*0</f>
        <v>0</v>
      </c>
      <c r="J12" s="9">
        <f>'Sticky Wild'!$B$25*1*'Sticky Wild'!$D$25*'Sticky Wild'!$E$25*'Sticky Wild'!$F$25</f>
        <v>0.7366071428571429</v>
      </c>
      <c r="K12" s="9">
        <f>'Sticky Wild'!$B$25*1*'Sticky Wild'!$D$25*'Sticky Wild'!$E$25*0</f>
        <v>0</v>
      </c>
      <c r="L12" s="9">
        <f>'Sticky Wild'!$B$25*1*'Sticky Wild'!$D$25*0*'Sticky Wild'!$F$25</f>
        <v>0</v>
      </c>
      <c r="M12" s="9">
        <f>'Sticky Wild'!$B$25*1*'Sticky Wild'!$D$25*0*0</f>
        <v>0</v>
      </c>
      <c r="N12" s="9">
        <f>'Sticky Wild'!$B$25*1*0*'Sticky Wild'!$E$25*'Sticky Wild'!$F$25</f>
        <v>0</v>
      </c>
      <c r="O12" s="9">
        <f>'Sticky Wild'!$B$25*1*0*'Sticky Wild'!$E$25*0</f>
        <v>0</v>
      </c>
      <c r="P12" s="9">
        <f>'Sticky Wild'!$B$25*1*0*0*'Sticky Wild'!$F$25</f>
        <v>0</v>
      </c>
      <c r="Q12" s="9">
        <f>'Sticky Wild'!$B$25*1*0*0*0</f>
        <v>0</v>
      </c>
      <c r="R12" s="9">
        <f>0*(1-'Sticky Wild'!$C$25)*'Sticky Wild'!$D$25*'Sticky Wild'!$E$25*'Sticky Wild'!$F$25</f>
        <v>0</v>
      </c>
      <c r="S12" s="9">
        <f>0*(1-'Sticky Wild'!$C$25)*'Sticky Wild'!$D$25*'Sticky Wild'!$E$25*0</f>
        <v>0</v>
      </c>
      <c r="T12" s="9">
        <f>0*(1-'Sticky Wild'!$C$25)*'Sticky Wild'!$D$25*0*'Sticky Wild'!$F$25</f>
        <v>0</v>
      </c>
      <c r="U12" s="9">
        <f>0*(1-'Sticky Wild'!$C$25)*'Sticky Wild'!$D$25*0*0</f>
        <v>0</v>
      </c>
      <c r="V12" s="9">
        <f>0*(1-'Sticky Wild'!$C$25)*0*'Sticky Wild'!$E$25*'Sticky Wild'!$F$25</f>
        <v>0</v>
      </c>
      <c r="W12" s="9">
        <f>0*(1-'Sticky Wild'!$C$25)*0*'Sticky Wild'!$E$25*0</f>
        <v>0</v>
      </c>
      <c r="X12" s="9">
        <f>0*(1-'Sticky Wild'!$C$25)*0*0*'Sticky Wild'!$F$25</f>
        <v>0</v>
      </c>
      <c r="Y12" s="9">
        <f>0*(1-'Sticky Wild'!$C$25)*0*0*0</f>
        <v>0</v>
      </c>
      <c r="Z12" s="9">
        <f>0*1*'Sticky Wild'!$D$25*'Sticky Wild'!$E$25*'Sticky Wild'!$F$25</f>
        <v>0</v>
      </c>
      <c r="AA12" s="9">
        <f>0*1*'Sticky Wild'!$D$25*'Sticky Wild'!$E$25*0</f>
        <v>0</v>
      </c>
      <c r="AB12" s="9">
        <f>0*1*'Sticky Wild'!$D$25*0*'Sticky Wild'!$F$25</f>
        <v>0</v>
      </c>
      <c r="AC12" s="9">
        <f>0*1*'Sticky Wild'!$D$25*0*0</f>
        <v>0</v>
      </c>
      <c r="AD12" s="9">
        <f>0*1*0*'Sticky Wild'!$E$25*'Sticky Wild'!$F$25</f>
        <v>0</v>
      </c>
      <c r="AE12" s="9">
        <f>0*1*0*'Sticky Wild'!$E$25*0</f>
        <v>0</v>
      </c>
      <c r="AF12" s="9">
        <f>0*1*0*0*'Sticky Wild'!$F$25</f>
        <v>0</v>
      </c>
      <c r="AG12" s="9">
        <f>0*1*0*0*0</f>
        <v>0</v>
      </c>
    </row>
    <row r="13" spans="1:33" ht="15" customHeight="1">
      <c r="A13" s="2" t="str">
        <f>DEC2BIN(9,5)</f>
        <v>01001</v>
      </c>
      <c r="B13" s="9">
        <f>'Sticky Wild'!$B$25*(1-'Sticky Wild'!$C$25)*'Sticky Wild'!$D$25*'Sticky Wild'!$E$25*(1-'Sticky Wild'!$F$25)</f>
        <v>4.4642857142857158E-3</v>
      </c>
      <c r="C13" s="9">
        <f>'Sticky Wild'!$B$25*(1-'Sticky Wild'!$C$25)*'Sticky Wild'!$D$25*'Sticky Wild'!$E$25*1</f>
        <v>5.3571428571428562E-2</v>
      </c>
      <c r="D13" s="9">
        <f>'Sticky Wild'!$B$25*(1-'Sticky Wild'!$C$25)*'Sticky Wild'!$D$25*0*(1-'Sticky Wild'!$F$25)</f>
        <v>0</v>
      </c>
      <c r="E13" s="9">
        <f>'Sticky Wild'!$B$25*(1-'Sticky Wild'!$C$25)*'Sticky Wild'!$D$25*0*1</f>
        <v>0</v>
      </c>
      <c r="F13" s="9">
        <f>'Sticky Wild'!$B$25*(1-'Sticky Wild'!$C$25)*0*'Sticky Wild'!$E$25*(1-'Sticky Wild'!$F$25)</f>
        <v>0</v>
      </c>
      <c r="G13" s="9">
        <f>'Sticky Wild'!$B$25*(1-'Sticky Wild'!$C$25)*0*'Sticky Wild'!$E$25*1</f>
        <v>0</v>
      </c>
      <c r="H13" s="9">
        <f>'Sticky Wild'!$B$25*(1-'Sticky Wild'!$C$25)*0*0*(1-'Sticky Wild'!$F$25)</f>
        <v>0</v>
      </c>
      <c r="I13" s="9">
        <f>'Sticky Wild'!$B$25*(1-'Sticky Wild'!$C$25)*0*0*1</f>
        <v>0</v>
      </c>
      <c r="J13" s="9">
        <f>'Sticky Wild'!$B$25*1*'Sticky Wild'!$D$25*'Sticky Wild'!$E$25*(1-'Sticky Wild'!$F$25)</f>
        <v>6.696428571428574E-2</v>
      </c>
      <c r="K13" s="9">
        <f>'Sticky Wild'!$B$25*1*'Sticky Wild'!$D$25*'Sticky Wild'!$E$25*1</f>
        <v>0.8035714285714286</v>
      </c>
      <c r="L13" s="9">
        <f>'Sticky Wild'!$B$25*1*'Sticky Wild'!$D$25*0*(1-'Sticky Wild'!$F$25)</f>
        <v>0</v>
      </c>
      <c r="M13" s="9">
        <f>'Sticky Wild'!$B$25*1*'Sticky Wild'!$D$25*0*1</f>
        <v>0</v>
      </c>
      <c r="N13" s="9">
        <f>'Sticky Wild'!$B$25*1*0*'Sticky Wild'!$E$25*(1-'Sticky Wild'!$F$25)</f>
        <v>0</v>
      </c>
      <c r="O13" s="9">
        <f>'Sticky Wild'!$B$25*1*0*'Sticky Wild'!$E$25*1</f>
        <v>0</v>
      </c>
      <c r="P13" s="9">
        <f>'Sticky Wild'!$B$25*1*0*0*(1-'Sticky Wild'!$F$25)</f>
        <v>0</v>
      </c>
      <c r="Q13" s="9">
        <f>'Sticky Wild'!$B$25*1*0*0*1</f>
        <v>0</v>
      </c>
      <c r="R13" s="9">
        <f>0*(1-'Sticky Wild'!$C$25)*'Sticky Wild'!$D$25*'Sticky Wild'!$E$25*(1-'Sticky Wild'!$F$25)</f>
        <v>0</v>
      </c>
      <c r="S13" s="9">
        <f>0*(1-'Sticky Wild'!$C$25)*'Sticky Wild'!$D$25*'Sticky Wild'!$E$25*1</f>
        <v>0</v>
      </c>
      <c r="T13" s="9">
        <f>0*(1-'Sticky Wild'!$C$25)*'Sticky Wild'!$D$25*0*(1-'Sticky Wild'!$F$25)</f>
        <v>0</v>
      </c>
      <c r="U13" s="9">
        <f>0*(1-'Sticky Wild'!$C$25)*'Sticky Wild'!$D$25*0*1</f>
        <v>0</v>
      </c>
      <c r="V13" s="9">
        <f>0*(1-'Sticky Wild'!$C$25)*0*'Sticky Wild'!$E$25*(1-'Sticky Wild'!$F$25)</f>
        <v>0</v>
      </c>
      <c r="W13" s="9">
        <f>0*(1-'Sticky Wild'!$C$25)*0*'Sticky Wild'!$E$25*1</f>
        <v>0</v>
      </c>
      <c r="X13" s="9">
        <f>0*(1-'Sticky Wild'!$C$25)*0*0*(1-'Sticky Wild'!$F$25)</f>
        <v>0</v>
      </c>
      <c r="Y13" s="9">
        <f>0*(1-'Sticky Wild'!$C$25)*0*0*1</f>
        <v>0</v>
      </c>
      <c r="Z13" s="9">
        <f>0*1*'Sticky Wild'!$D$25*'Sticky Wild'!$E$25*(1-'Sticky Wild'!$F$25)</f>
        <v>0</v>
      </c>
      <c r="AA13" s="9">
        <f>0*1*'Sticky Wild'!$D$25*'Sticky Wild'!$E$25*1</f>
        <v>0</v>
      </c>
      <c r="AB13" s="9">
        <f>0*1*'Sticky Wild'!$D$25*0*(1-'Sticky Wild'!$F$25)</f>
        <v>0</v>
      </c>
      <c r="AC13" s="9">
        <f>0*1*'Sticky Wild'!$D$25*0*1</f>
        <v>0</v>
      </c>
      <c r="AD13" s="9">
        <f>0*1*0*'Sticky Wild'!$E$25*(1-'Sticky Wild'!$F$25)</f>
        <v>0</v>
      </c>
      <c r="AE13" s="9">
        <f>0*1*0*'Sticky Wild'!$E$25*1</f>
        <v>0</v>
      </c>
      <c r="AF13" s="9">
        <f>0*1*0*0*(1-'Sticky Wild'!$F$25)</f>
        <v>0</v>
      </c>
      <c r="AG13" s="9">
        <f>0*1*0*0*1</f>
        <v>0</v>
      </c>
    </row>
    <row r="14" spans="1:33" ht="15" customHeight="1">
      <c r="A14" s="2" t="str">
        <f>DEC2BIN(10,5)</f>
        <v>01010</v>
      </c>
      <c r="B14" s="9">
        <f>'Sticky Wild'!$B$25*(1-'Sticky Wild'!$C$25)*'Sticky Wild'!$D$25*(1-'Sticky Wild'!$E$25)*'Sticky Wild'!$F$25</f>
        <v>4.0922619047619015E-3</v>
      </c>
      <c r="C14" s="9">
        <f>'Sticky Wild'!$B$25*(1-'Sticky Wild'!$C$25)*'Sticky Wild'!$D$25*(1-'Sticky Wild'!$E$25)*0</f>
        <v>0</v>
      </c>
      <c r="D14" s="9">
        <f>'Sticky Wild'!$B$25*(1-'Sticky Wild'!$C$25)*'Sticky Wild'!$D$25*1*'Sticky Wild'!$F$25</f>
        <v>5.3199404761904746E-2</v>
      </c>
      <c r="E14" s="9">
        <f>'Sticky Wild'!$B$25*(1-'Sticky Wild'!$C$25)*'Sticky Wild'!$D$25*1*0</f>
        <v>0</v>
      </c>
      <c r="F14" s="9">
        <f>'Sticky Wild'!$B$25*(1-'Sticky Wild'!$C$25)*0*(1-'Sticky Wild'!$E$25)*'Sticky Wild'!$F$25</f>
        <v>0</v>
      </c>
      <c r="G14" s="9">
        <f>'Sticky Wild'!$B$25*(1-'Sticky Wild'!$C$25)*0*(1-'Sticky Wild'!$E$25)*0</f>
        <v>0</v>
      </c>
      <c r="H14" s="9">
        <f>'Sticky Wild'!$B$25*(1-'Sticky Wild'!$C$25)*0*1*'Sticky Wild'!$F$25</f>
        <v>0</v>
      </c>
      <c r="I14" s="9">
        <f>'Sticky Wild'!$B$25*(1-'Sticky Wild'!$C$25)*0*1*0</f>
        <v>0</v>
      </c>
      <c r="J14" s="9">
        <f>'Sticky Wild'!$B$25*1*'Sticky Wild'!$D$25*(1-'Sticky Wild'!$E$25)*'Sticky Wild'!$F$25</f>
        <v>6.1383928571428527E-2</v>
      </c>
      <c r="K14" s="9">
        <f>'Sticky Wild'!$B$25*1*'Sticky Wild'!$D$25*(1-'Sticky Wild'!$E$25)*0</f>
        <v>0</v>
      </c>
      <c r="L14" s="9">
        <f>'Sticky Wild'!$B$25*1*'Sticky Wild'!$D$25*1*'Sticky Wild'!$F$25</f>
        <v>0.7979910714285714</v>
      </c>
      <c r="M14" s="9">
        <f>'Sticky Wild'!$B$25*1*'Sticky Wild'!$D$25*1*0</f>
        <v>0</v>
      </c>
      <c r="N14" s="9">
        <f>'Sticky Wild'!$B$25*1*0*(1-'Sticky Wild'!$E$25)*'Sticky Wild'!$F$25</f>
        <v>0</v>
      </c>
      <c r="O14" s="9">
        <f>'Sticky Wild'!$B$25*1*0*(1-'Sticky Wild'!$E$25)*0</f>
        <v>0</v>
      </c>
      <c r="P14" s="9">
        <f>'Sticky Wild'!$B$25*1*0*1*'Sticky Wild'!$F$25</f>
        <v>0</v>
      </c>
      <c r="Q14" s="9">
        <f>'Sticky Wild'!$B$25*1*0*1*0</f>
        <v>0</v>
      </c>
      <c r="R14" s="9">
        <f>0*(1-'Sticky Wild'!$C$25)*'Sticky Wild'!$D$25*(1-'Sticky Wild'!$E$25)*'Sticky Wild'!$F$25</f>
        <v>0</v>
      </c>
      <c r="S14" s="9">
        <f>0*(1-'Sticky Wild'!$C$25)*'Sticky Wild'!$D$25*(1-'Sticky Wild'!$E$25)*0</f>
        <v>0</v>
      </c>
      <c r="T14" s="9">
        <f>0*(1-'Sticky Wild'!$C$25)*'Sticky Wild'!$D$25*1*'Sticky Wild'!$F$25</f>
        <v>0</v>
      </c>
      <c r="U14" s="9">
        <f>0*(1-'Sticky Wild'!$C$25)*'Sticky Wild'!$D$25*1*0</f>
        <v>0</v>
      </c>
      <c r="V14" s="9">
        <f>0*(1-'Sticky Wild'!$C$25)*0*(1-'Sticky Wild'!$E$25)*'Sticky Wild'!$F$25</f>
        <v>0</v>
      </c>
      <c r="W14" s="9">
        <f>0*(1-'Sticky Wild'!$C$25)*0*(1-'Sticky Wild'!$E$25)*0</f>
        <v>0</v>
      </c>
      <c r="X14" s="9">
        <f>0*(1-'Sticky Wild'!$C$25)*0*1*'Sticky Wild'!$F$25</f>
        <v>0</v>
      </c>
      <c r="Y14" s="9">
        <f>0*(1-'Sticky Wild'!$C$25)*0*1*0</f>
        <v>0</v>
      </c>
      <c r="Z14" s="9">
        <f>0*1*'Sticky Wild'!$D$25*(1-'Sticky Wild'!$E$25)*'Sticky Wild'!$F$25</f>
        <v>0</v>
      </c>
      <c r="AA14" s="9">
        <f>0*1*'Sticky Wild'!$D$25*(1-'Sticky Wild'!$E$25)*0</f>
        <v>0</v>
      </c>
      <c r="AB14" s="9">
        <f>0*1*'Sticky Wild'!$D$25*1*'Sticky Wild'!$F$25</f>
        <v>0</v>
      </c>
      <c r="AC14" s="9">
        <f>0*1*'Sticky Wild'!$D$25*1*0</f>
        <v>0</v>
      </c>
      <c r="AD14" s="9">
        <f>0*1*0*(1-'Sticky Wild'!$E$25)*'Sticky Wild'!$F$25</f>
        <v>0</v>
      </c>
      <c r="AE14" s="9">
        <f>0*1*0*(1-'Sticky Wild'!$E$25)*0</f>
        <v>0</v>
      </c>
      <c r="AF14" s="9">
        <f>0*1*0*1*'Sticky Wild'!$F$25</f>
        <v>0</v>
      </c>
      <c r="AG14" s="9">
        <f>0*1*0*1*0</f>
        <v>0</v>
      </c>
    </row>
    <row r="15" spans="1:33" ht="15" customHeight="1">
      <c r="A15" s="2" t="str">
        <f>DEC2BIN(11,5)</f>
        <v>01011</v>
      </c>
      <c r="B15" s="9">
        <f>'Sticky Wild'!$B$25*(1-'Sticky Wild'!$C$25)*'Sticky Wild'!$D$25*(1-'Sticky Wild'!$E$25)*(1-'Sticky Wild'!$F$25)</f>
        <v>3.7202380952380939E-4</v>
      </c>
      <c r="C15" s="9">
        <f>'Sticky Wild'!$B$25*(1-'Sticky Wild'!$C$25)*'Sticky Wild'!$D$25*(1-'Sticky Wild'!$E$25)*1</f>
        <v>4.4642857142857106E-3</v>
      </c>
      <c r="D15" s="9">
        <f>'Sticky Wild'!$B$25*(1-'Sticky Wild'!$C$25)*'Sticky Wild'!$D$25*1*(1-'Sticky Wild'!$F$25)</f>
        <v>4.8363095238095248E-3</v>
      </c>
      <c r="E15" s="9">
        <f>'Sticky Wild'!$B$25*(1-'Sticky Wild'!$C$25)*'Sticky Wild'!$D$25*1*1</f>
        <v>5.8035714285714274E-2</v>
      </c>
      <c r="F15" s="9">
        <f>'Sticky Wild'!$B$25*(1-'Sticky Wild'!$C$25)*0*(1-'Sticky Wild'!$E$25)*(1-'Sticky Wild'!$F$25)</f>
        <v>0</v>
      </c>
      <c r="G15" s="9">
        <f>'Sticky Wild'!$B$25*(1-'Sticky Wild'!$C$25)*0*(1-'Sticky Wild'!$E$25)*1</f>
        <v>0</v>
      </c>
      <c r="H15" s="9">
        <f>'Sticky Wild'!$B$25*(1-'Sticky Wild'!$C$25)*0*1*(1-'Sticky Wild'!$F$25)</f>
        <v>0</v>
      </c>
      <c r="I15" s="9">
        <f>'Sticky Wild'!$B$25*(1-'Sticky Wild'!$C$25)*0*1*1</f>
        <v>0</v>
      </c>
      <c r="J15" s="9">
        <f>'Sticky Wild'!$B$25*1*'Sticky Wild'!$D$25*(1-'Sticky Wild'!$E$25)*(1-'Sticky Wild'!$F$25)</f>
        <v>5.5803571428571421E-3</v>
      </c>
      <c r="K15" s="9">
        <f>'Sticky Wild'!$B$25*1*'Sticky Wild'!$D$25*(1-'Sticky Wild'!$E$25)*1</f>
        <v>6.6964285714285671E-2</v>
      </c>
      <c r="L15" s="9">
        <f>'Sticky Wild'!$B$25*1*'Sticky Wild'!$D$25*1*(1-'Sticky Wild'!$F$25)</f>
        <v>7.2544642857142891E-2</v>
      </c>
      <c r="M15" s="9">
        <f>'Sticky Wild'!$B$25*1*'Sticky Wild'!$D$25*1*1</f>
        <v>0.8705357142857143</v>
      </c>
      <c r="N15" s="9">
        <f>'Sticky Wild'!$B$25*1*0*(1-'Sticky Wild'!$E$25)*(1-'Sticky Wild'!$F$25)</f>
        <v>0</v>
      </c>
      <c r="O15" s="9">
        <f>'Sticky Wild'!$B$25*1*0*(1-'Sticky Wild'!$E$25)*1</f>
        <v>0</v>
      </c>
      <c r="P15" s="9">
        <f>'Sticky Wild'!$B$25*1*0*1*(1-'Sticky Wild'!$F$25)</f>
        <v>0</v>
      </c>
      <c r="Q15" s="9">
        <f>'Sticky Wild'!$B$25*1*0*1*1</f>
        <v>0</v>
      </c>
      <c r="R15" s="9">
        <f>0*(1-'Sticky Wild'!$C$25)*'Sticky Wild'!$D$25*(1-'Sticky Wild'!$E$25)*(1-'Sticky Wild'!$F$25)</f>
        <v>0</v>
      </c>
      <c r="S15" s="9">
        <f>0*(1-'Sticky Wild'!$C$25)*'Sticky Wild'!$D$25*(1-'Sticky Wild'!$E$25)*1</f>
        <v>0</v>
      </c>
      <c r="T15" s="9">
        <f>0*(1-'Sticky Wild'!$C$25)*'Sticky Wild'!$D$25*1*(1-'Sticky Wild'!$F$25)</f>
        <v>0</v>
      </c>
      <c r="U15" s="9">
        <f>0*(1-'Sticky Wild'!$C$25)*'Sticky Wild'!$D$25*1*1</f>
        <v>0</v>
      </c>
      <c r="V15" s="9">
        <f>0*(1-'Sticky Wild'!$C$25)*0*(1-'Sticky Wild'!$E$25)*(1-'Sticky Wild'!$F$25)</f>
        <v>0</v>
      </c>
      <c r="W15" s="9">
        <f>0*(1-'Sticky Wild'!$C$25)*0*(1-'Sticky Wild'!$E$25)*1</f>
        <v>0</v>
      </c>
      <c r="X15" s="9">
        <f>0*(1-'Sticky Wild'!$C$25)*0*1*(1-'Sticky Wild'!$F$25)</f>
        <v>0</v>
      </c>
      <c r="Y15" s="9">
        <f>0*(1-'Sticky Wild'!$C$25)*0*1*1</f>
        <v>0</v>
      </c>
      <c r="Z15" s="9">
        <f>0*1*'Sticky Wild'!$D$25*(1-'Sticky Wild'!$E$25)*(1-'Sticky Wild'!$F$25)</f>
        <v>0</v>
      </c>
      <c r="AA15" s="9">
        <f>0*1*'Sticky Wild'!$D$25*(1-'Sticky Wild'!$E$25)*1</f>
        <v>0</v>
      </c>
      <c r="AB15" s="9">
        <f>0*1*'Sticky Wild'!$D$25*1*(1-'Sticky Wild'!$F$25)</f>
        <v>0</v>
      </c>
      <c r="AC15" s="9">
        <f>0*1*'Sticky Wild'!$D$25*1*1</f>
        <v>0</v>
      </c>
      <c r="AD15" s="9">
        <f>0*1*0*(1-'Sticky Wild'!$E$25)*(1-'Sticky Wild'!$F$25)</f>
        <v>0</v>
      </c>
      <c r="AE15" s="9">
        <f>0*1*0*(1-'Sticky Wild'!$E$25)*1</f>
        <v>0</v>
      </c>
      <c r="AF15" s="9">
        <f>0*1*0*1*(1-'Sticky Wild'!$F$25)</f>
        <v>0</v>
      </c>
      <c r="AG15" s="9">
        <f>0*1*0*1*1</f>
        <v>0</v>
      </c>
    </row>
    <row r="16" spans="1:33" ht="15" customHeight="1">
      <c r="A16" s="2" t="str">
        <f>DEC2BIN(12,5)</f>
        <v>01100</v>
      </c>
      <c r="B16" s="9">
        <f>'Sticky Wild'!$B$25*(1-'Sticky Wild'!$C$25)*(1-'Sticky Wild'!$D$25)*'Sticky Wild'!$E$25*'Sticky Wild'!$F$25</f>
        <v>3.7774725274725249E-3</v>
      </c>
      <c r="C16" s="9">
        <f>'Sticky Wild'!$B$25*(1-'Sticky Wild'!$C$25)*(1-'Sticky Wild'!$D$25)*'Sticky Wild'!$E$25*0</f>
        <v>0</v>
      </c>
      <c r="D16" s="9">
        <f>'Sticky Wild'!$B$25*(1-'Sticky Wild'!$C$25)*(1-'Sticky Wild'!$D$25)*0*'Sticky Wild'!$F$25</f>
        <v>0</v>
      </c>
      <c r="E16" s="9">
        <f>'Sticky Wild'!$B$25*(1-'Sticky Wild'!$C$25)*(1-'Sticky Wild'!$D$25)*0*0</f>
        <v>0</v>
      </c>
      <c r="F16" s="9">
        <f>'Sticky Wild'!$B$25*(1-'Sticky Wild'!$C$25)*1*'Sticky Wild'!$E$25*'Sticky Wild'!$F$25</f>
        <v>5.288461538461537E-2</v>
      </c>
      <c r="G16" s="9">
        <f>'Sticky Wild'!$B$25*(1-'Sticky Wild'!$C$25)*1*'Sticky Wild'!$E$25*0</f>
        <v>0</v>
      </c>
      <c r="H16" s="9">
        <f>'Sticky Wild'!$B$25*(1-'Sticky Wild'!$C$25)*1*0*'Sticky Wild'!$F$25</f>
        <v>0</v>
      </c>
      <c r="I16" s="9">
        <f>'Sticky Wild'!$B$25*(1-'Sticky Wild'!$C$25)*1*0*0</f>
        <v>0</v>
      </c>
      <c r="J16" s="9">
        <f>'Sticky Wild'!$B$25*1*(1-'Sticky Wild'!$D$25)*'Sticky Wild'!$E$25*'Sticky Wild'!$F$25</f>
        <v>5.6662087912087884E-2</v>
      </c>
      <c r="K16" s="9">
        <f>'Sticky Wild'!$B$25*1*(1-'Sticky Wild'!$D$25)*'Sticky Wild'!$E$25*0</f>
        <v>0</v>
      </c>
      <c r="L16" s="9">
        <f>'Sticky Wild'!$B$25*1*(1-'Sticky Wild'!$D$25)*0*'Sticky Wild'!$F$25</f>
        <v>0</v>
      </c>
      <c r="M16" s="9">
        <f>'Sticky Wild'!$B$25*1*(1-'Sticky Wild'!$D$25)*0*0</f>
        <v>0</v>
      </c>
      <c r="N16" s="9">
        <f>'Sticky Wild'!$B$25*1*1*'Sticky Wild'!$E$25*'Sticky Wild'!$F$25</f>
        <v>0.79326923076923073</v>
      </c>
      <c r="O16" s="9">
        <f>'Sticky Wild'!$B$25*1*1*'Sticky Wild'!$E$25*0</f>
        <v>0</v>
      </c>
      <c r="P16" s="9">
        <f>'Sticky Wild'!$B$25*1*1*0*'Sticky Wild'!$F$25</f>
        <v>0</v>
      </c>
      <c r="Q16" s="9">
        <f>'Sticky Wild'!$B$25*1*1*0*0</f>
        <v>0</v>
      </c>
      <c r="R16" s="9">
        <f>0*(1-'Sticky Wild'!$C$25)*(1-'Sticky Wild'!$D$25)*'Sticky Wild'!$E$25*'Sticky Wild'!$F$25</f>
        <v>0</v>
      </c>
      <c r="S16" s="9">
        <f>0*(1-'Sticky Wild'!$C$25)*(1-'Sticky Wild'!$D$25)*'Sticky Wild'!$E$25*0</f>
        <v>0</v>
      </c>
      <c r="T16" s="9">
        <f>0*(1-'Sticky Wild'!$C$25)*(1-'Sticky Wild'!$D$25)*0*'Sticky Wild'!$F$25</f>
        <v>0</v>
      </c>
      <c r="U16" s="9">
        <f>0*(1-'Sticky Wild'!$C$25)*(1-'Sticky Wild'!$D$25)*0*0</f>
        <v>0</v>
      </c>
      <c r="V16" s="9">
        <f>0*(1-'Sticky Wild'!$C$25)*1*'Sticky Wild'!$E$25*'Sticky Wild'!$F$25</f>
        <v>0</v>
      </c>
      <c r="W16" s="9">
        <f>0*(1-'Sticky Wild'!$C$25)*1*'Sticky Wild'!$E$25*0</f>
        <v>0</v>
      </c>
      <c r="X16" s="9">
        <f>0*(1-'Sticky Wild'!$C$25)*1*0*'Sticky Wild'!$F$25</f>
        <v>0</v>
      </c>
      <c r="Y16" s="9">
        <f>0*(1-'Sticky Wild'!$C$25)*1*0*0</f>
        <v>0</v>
      </c>
      <c r="Z16" s="9">
        <f>0*1*(1-'Sticky Wild'!$D$25)*'Sticky Wild'!$E$25*'Sticky Wild'!$F$25</f>
        <v>0</v>
      </c>
      <c r="AA16" s="9">
        <f>0*1*(1-'Sticky Wild'!$D$25)*'Sticky Wild'!$E$25*0</f>
        <v>0</v>
      </c>
      <c r="AB16" s="9">
        <f>0*1*(1-'Sticky Wild'!$D$25)*0*'Sticky Wild'!$F$25</f>
        <v>0</v>
      </c>
      <c r="AC16" s="9">
        <f>0*1*(1-'Sticky Wild'!$D$25)*0*0</f>
        <v>0</v>
      </c>
      <c r="AD16" s="9">
        <f>0*1*1*'Sticky Wild'!$E$25*'Sticky Wild'!$F$25</f>
        <v>0</v>
      </c>
      <c r="AE16" s="9">
        <f>0*1*1*'Sticky Wild'!$E$25*0</f>
        <v>0</v>
      </c>
      <c r="AF16" s="9">
        <f>0*1*1*0*'Sticky Wild'!$F$25</f>
        <v>0</v>
      </c>
      <c r="AG16" s="9">
        <f>0*1*1*0*0</f>
        <v>0</v>
      </c>
    </row>
    <row r="17" spans="1:33" ht="15" customHeight="1">
      <c r="A17" s="2" t="str">
        <f>DEC2BIN(13,5)</f>
        <v>01101</v>
      </c>
      <c r="B17" s="9">
        <f>'Sticky Wild'!$B$25*(1-'Sticky Wild'!$C$25)*(1-'Sticky Wild'!$D$25)*'Sticky Wild'!$E$25*(1-'Sticky Wild'!$F$25)</f>
        <v>3.4340659340659332E-4</v>
      </c>
      <c r="C17" s="9">
        <f>'Sticky Wild'!$B$25*(1-'Sticky Wild'!$C$25)*(1-'Sticky Wild'!$D$25)*'Sticky Wild'!$E$25*1</f>
        <v>4.1208791208791184E-3</v>
      </c>
      <c r="D17" s="9">
        <f>'Sticky Wild'!$B$25*(1-'Sticky Wild'!$C$25)*(1-'Sticky Wild'!$D$25)*0*(1-'Sticky Wild'!$F$25)</f>
        <v>0</v>
      </c>
      <c r="E17" s="9">
        <f>'Sticky Wild'!$B$25*(1-'Sticky Wild'!$C$25)*(1-'Sticky Wild'!$D$25)*0*1</f>
        <v>0</v>
      </c>
      <c r="F17" s="9">
        <f>'Sticky Wild'!$B$25*(1-'Sticky Wild'!$C$25)*1*'Sticky Wild'!$E$25*(1-'Sticky Wild'!$F$25)</f>
        <v>4.8076923076923088E-3</v>
      </c>
      <c r="G17" s="9">
        <f>'Sticky Wild'!$B$25*(1-'Sticky Wild'!$C$25)*1*'Sticky Wild'!$E$25*1</f>
        <v>5.7692307692307682E-2</v>
      </c>
      <c r="H17" s="9">
        <f>'Sticky Wild'!$B$25*(1-'Sticky Wild'!$C$25)*1*0*(1-'Sticky Wild'!$F$25)</f>
        <v>0</v>
      </c>
      <c r="I17" s="9">
        <f>'Sticky Wild'!$B$25*(1-'Sticky Wild'!$C$25)*1*0*1</f>
        <v>0</v>
      </c>
      <c r="J17" s="9">
        <f>'Sticky Wild'!$B$25*1*(1-'Sticky Wild'!$D$25)*'Sticky Wild'!$E$25*(1-'Sticky Wild'!$F$25)</f>
        <v>5.151098901098901E-3</v>
      </c>
      <c r="K17" s="9">
        <f>'Sticky Wild'!$B$25*1*(1-'Sticky Wild'!$D$25)*'Sticky Wild'!$E$25*1</f>
        <v>6.1813186813186788E-2</v>
      </c>
      <c r="L17" s="9">
        <f>'Sticky Wild'!$B$25*1*(1-'Sticky Wild'!$D$25)*0*(1-'Sticky Wild'!$F$25)</f>
        <v>0</v>
      </c>
      <c r="M17" s="9">
        <f>'Sticky Wild'!$B$25*1*(1-'Sticky Wild'!$D$25)*0*1</f>
        <v>0</v>
      </c>
      <c r="N17" s="9">
        <f>'Sticky Wild'!$B$25*1*1*'Sticky Wild'!$E$25*(1-'Sticky Wild'!$F$25)</f>
        <v>7.2115384615384651E-2</v>
      </c>
      <c r="O17" s="9">
        <f>'Sticky Wild'!$B$25*1*1*'Sticky Wild'!$E$25*1</f>
        <v>0.86538461538461542</v>
      </c>
      <c r="P17" s="9">
        <f>'Sticky Wild'!$B$25*1*1*0*(1-'Sticky Wild'!$F$25)</f>
        <v>0</v>
      </c>
      <c r="Q17" s="9">
        <f>'Sticky Wild'!$B$25*1*1*0*1</f>
        <v>0</v>
      </c>
      <c r="R17" s="9">
        <f>0*(1-'Sticky Wild'!$C$25)*(1-'Sticky Wild'!$D$25)*'Sticky Wild'!$E$25*(1-'Sticky Wild'!$F$25)</f>
        <v>0</v>
      </c>
      <c r="S17" s="9">
        <f>0*(1-'Sticky Wild'!$C$25)*(1-'Sticky Wild'!$D$25)*'Sticky Wild'!$E$25*1</f>
        <v>0</v>
      </c>
      <c r="T17" s="9">
        <f>0*(1-'Sticky Wild'!$C$25)*(1-'Sticky Wild'!$D$25)*0*(1-'Sticky Wild'!$F$25)</f>
        <v>0</v>
      </c>
      <c r="U17" s="9">
        <f>0*(1-'Sticky Wild'!$C$25)*(1-'Sticky Wild'!$D$25)*0*1</f>
        <v>0</v>
      </c>
      <c r="V17" s="9">
        <f>0*(1-'Sticky Wild'!$C$25)*1*'Sticky Wild'!$E$25*(1-'Sticky Wild'!$F$25)</f>
        <v>0</v>
      </c>
      <c r="W17" s="9">
        <f>0*(1-'Sticky Wild'!$C$25)*1*'Sticky Wild'!$E$25*1</f>
        <v>0</v>
      </c>
      <c r="X17" s="9">
        <f>0*(1-'Sticky Wild'!$C$25)*1*0*(1-'Sticky Wild'!$F$25)</f>
        <v>0</v>
      </c>
      <c r="Y17" s="9">
        <f>0*(1-'Sticky Wild'!$C$25)*1*0*1</f>
        <v>0</v>
      </c>
      <c r="Z17" s="9">
        <f>0*1*(1-'Sticky Wild'!$D$25)*'Sticky Wild'!$E$25*(1-'Sticky Wild'!$F$25)</f>
        <v>0</v>
      </c>
      <c r="AA17" s="9">
        <f>0*1*(1-'Sticky Wild'!$D$25)*'Sticky Wild'!$E$25*1</f>
        <v>0</v>
      </c>
      <c r="AB17" s="9">
        <f>0*1*(1-'Sticky Wild'!$D$25)*0*(1-'Sticky Wild'!$F$25)</f>
        <v>0</v>
      </c>
      <c r="AC17" s="9">
        <f>0*1*(1-'Sticky Wild'!$D$25)*0*1</f>
        <v>0</v>
      </c>
      <c r="AD17" s="9">
        <f>0*1*1*'Sticky Wild'!$E$25*(1-'Sticky Wild'!$F$25)</f>
        <v>0</v>
      </c>
      <c r="AE17" s="9">
        <f>0*1*1*'Sticky Wild'!$E$25*1</f>
        <v>0</v>
      </c>
      <c r="AF17" s="9">
        <f>0*1*1*0*(1-'Sticky Wild'!$F$25)</f>
        <v>0</v>
      </c>
      <c r="AG17" s="9">
        <f>0*1*1*0*1</f>
        <v>0</v>
      </c>
    </row>
    <row r="18" spans="1:33" ht="15" customHeight="1">
      <c r="A18" s="2" t="str">
        <f>DEC2BIN(14,5)</f>
        <v>01110</v>
      </c>
      <c r="B18" s="9">
        <f>'Sticky Wild'!$B$25*(1-'Sticky Wild'!$C$25)*(1-'Sticky Wild'!$D$25)*(1-'Sticky Wild'!$E$25)*'Sticky Wild'!$F$25</f>
        <v>3.1478937728937688E-4</v>
      </c>
      <c r="C18" s="9">
        <f>'Sticky Wild'!$B$25*(1-'Sticky Wild'!$C$25)*(1-'Sticky Wild'!$D$25)*(1-'Sticky Wild'!$E$25)*0</f>
        <v>0</v>
      </c>
      <c r="D18" s="9">
        <f>'Sticky Wild'!$B$25*(1-'Sticky Wild'!$C$25)*(1-'Sticky Wild'!$D$25)*1*'Sticky Wild'!$F$25</f>
        <v>4.0922619047619024E-3</v>
      </c>
      <c r="E18" s="9">
        <f>'Sticky Wild'!$B$25*(1-'Sticky Wild'!$C$25)*(1-'Sticky Wild'!$D$25)*1*0</f>
        <v>0</v>
      </c>
      <c r="F18" s="9">
        <f>'Sticky Wild'!$B$25*(1-'Sticky Wild'!$C$25)*1*(1-'Sticky Wild'!$E$25)*'Sticky Wild'!$F$25</f>
        <v>4.4070512820512785E-3</v>
      </c>
      <c r="G18" s="9">
        <f>'Sticky Wild'!$B$25*(1-'Sticky Wild'!$C$25)*1*(1-'Sticky Wild'!$E$25)*0</f>
        <v>0</v>
      </c>
      <c r="H18" s="9">
        <f>'Sticky Wild'!$B$25*(1-'Sticky Wild'!$C$25)*1*1*'Sticky Wild'!$F$25</f>
        <v>5.729166666666665E-2</v>
      </c>
      <c r="I18" s="9">
        <f>'Sticky Wild'!$B$25*(1-'Sticky Wild'!$C$25)*1*1*0</f>
        <v>0</v>
      </c>
      <c r="J18" s="9">
        <f>'Sticky Wild'!$B$25*1*(1-'Sticky Wild'!$D$25)*(1-'Sticky Wild'!$E$25)*'Sticky Wild'!$F$25</f>
        <v>4.7218406593406547E-3</v>
      </c>
      <c r="K18" s="9">
        <f>'Sticky Wild'!$B$25*1*(1-'Sticky Wild'!$D$25)*(1-'Sticky Wild'!$E$25)*0</f>
        <v>0</v>
      </c>
      <c r="L18" s="9">
        <f>'Sticky Wild'!$B$25*1*(1-'Sticky Wild'!$D$25)*1*'Sticky Wild'!$F$25</f>
        <v>6.1383928571428541E-2</v>
      </c>
      <c r="M18" s="9">
        <f>'Sticky Wild'!$B$25*1*(1-'Sticky Wild'!$D$25)*1*0</f>
        <v>0</v>
      </c>
      <c r="N18" s="9">
        <f>'Sticky Wild'!$B$25*1*1*(1-'Sticky Wild'!$E$25)*'Sticky Wild'!$F$25</f>
        <v>6.610576923076919E-2</v>
      </c>
      <c r="O18" s="9">
        <f>'Sticky Wild'!$B$25*1*1*(1-'Sticky Wild'!$E$25)*0</f>
        <v>0</v>
      </c>
      <c r="P18" s="9">
        <f>'Sticky Wild'!$B$25*1*1*1*'Sticky Wild'!$F$25</f>
        <v>0.859375</v>
      </c>
      <c r="Q18" s="9">
        <f>'Sticky Wild'!$B$25*1*1*1*0</f>
        <v>0</v>
      </c>
      <c r="R18" s="9">
        <f>0*(1-'Sticky Wild'!$C$25)*(1-'Sticky Wild'!$D$25)*(1-'Sticky Wild'!$E$25)*'Sticky Wild'!$F$25</f>
        <v>0</v>
      </c>
      <c r="S18" s="9">
        <f>0*(1-'Sticky Wild'!$C$25)*(1-'Sticky Wild'!$D$25)*(1-'Sticky Wild'!$E$25)*0</f>
        <v>0</v>
      </c>
      <c r="T18" s="9">
        <f>0*(1-'Sticky Wild'!$C$25)*(1-'Sticky Wild'!$D$25)*1*'Sticky Wild'!$F$25</f>
        <v>0</v>
      </c>
      <c r="U18" s="9">
        <f>0*(1-'Sticky Wild'!$C$25)*(1-'Sticky Wild'!$D$25)*1*0</f>
        <v>0</v>
      </c>
      <c r="V18" s="9">
        <f>0*(1-'Sticky Wild'!$C$25)*1*(1-'Sticky Wild'!$E$25)*'Sticky Wild'!$F$25</f>
        <v>0</v>
      </c>
      <c r="W18" s="9">
        <f>0*(1-'Sticky Wild'!$C$25)*1*(1-'Sticky Wild'!$E$25)*0</f>
        <v>0</v>
      </c>
      <c r="X18" s="9">
        <f>0*(1-'Sticky Wild'!$C$25)*1*1*'Sticky Wild'!$F$25</f>
        <v>0</v>
      </c>
      <c r="Y18" s="9">
        <f>0*(1-'Sticky Wild'!$C$25)*1*1*0</f>
        <v>0</v>
      </c>
      <c r="Z18" s="9">
        <f>0*1*(1-'Sticky Wild'!$D$25)*(1-'Sticky Wild'!$E$25)*'Sticky Wild'!$F$25</f>
        <v>0</v>
      </c>
      <c r="AA18" s="9">
        <f>0*1*(1-'Sticky Wild'!$D$25)*(1-'Sticky Wild'!$E$25)*0</f>
        <v>0</v>
      </c>
      <c r="AB18" s="9">
        <f>0*1*(1-'Sticky Wild'!$D$25)*1*'Sticky Wild'!$F$25</f>
        <v>0</v>
      </c>
      <c r="AC18" s="9">
        <f>0*1*(1-'Sticky Wild'!$D$25)*1*0</f>
        <v>0</v>
      </c>
      <c r="AD18" s="9">
        <f>0*1*1*(1-'Sticky Wild'!$E$25)*'Sticky Wild'!$F$25</f>
        <v>0</v>
      </c>
      <c r="AE18" s="9">
        <f>0*1*1*(1-'Sticky Wild'!$E$25)*0</f>
        <v>0</v>
      </c>
      <c r="AF18" s="9">
        <f>0*1*1*1*'Sticky Wild'!$F$25</f>
        <v>0</v>
      </c>
      <c r="AG18" s="9">
        <f>0*1*1*1*0</f>
        <v>0</v>
      </c>
    </row>
    <row r="19" spans="1:33" ht="15" customHeight="1">
      <c r="A19" s="2" t="str">
        <f>DEC2BIN(15,5)</f>
        <v>01111</v>
      </c>
      <c r="B19" s="9">
        <f>'Sticky Wild'!$B$25*(1-'Sticky Wild'!$C$25)*(1-'Sticky Wild'!$D$25)*(1-'Sticky Wild'!$E$25)*(1-'Sticky Wild'!$F$25)</f>
        <v>2.861721611721609E-5</v>
      </c>
      <c r="C19" s="9">
        <f>'Sticky Wild'!$B$25*(1-'Sticky Wild'!$C$25)*(1-'Sticky Wild'!$D$25)*(1-'Sticky Wild'!$E$25)*1</f>
        <v>3.4340659340659295E-4</v>
      </c>
      <c r="D19" s="9">
        <f>'Sticky Wild'!$B$25*(1-'Sticky Wild'!$C$25)*(1-'Sticky Wild'!$D$25)*1*(1-'Sticky Wild'!$F$25)</f>
        <v>3.7202380952380945E-4</v>
      </c>
      <c r="E19" s="9">
        <f>'Sticky Wild'!$B$25*(1-'Sticky Wild'!$C$25)*(1-'Sticky Wild'!$D$25)*1*1</f>
        <v>4.4642857142857114E-3</v>
      </c>
      <c r="F19" s="9">
        <f>'Sticky Wild'!$B$25*(1-'Sticky Wild'!$C$25)*1*(1-'Sticky Wild'!$E$25)*(1-'Sticky Wild'!$F$25)</f>
        <v>4.0064102564102546E-4</v>
      </c>
      <c r="G19" s="9">
        <f>'Sticky Wild'!$B$25*(1-'Sticky Wild'!$C$25)*1*(1-'Sticky Wild'!$E$25)*1</f>
        <v>4.8076923076923036E-3</v>
      </c>
      <c r="H19" s="9">
        <f>'Sticky Wild'!$B$25*(1-'Sticky Wild'!$C$25)*1*1*(1-'Sticky Wild'!$F$25)</f>
        <v>5.2083333333333348E-3</v>
      </c>
      <c r="I19" s="9">
        <f>'Sticky Wild'!$B$25*(1-'Sticky Wild'!$C$25)*1*1*1</f>
        <v>6.2499999999999986E-2</v>
      </c>
      <c r="J19" s="9">
        <f>'Sticky Wild'!$B$25*1*(1-'Sticky Wild'!$D$25)*(1-'Sticky Wild'!$E$25)*(1-'Sticky Wild'!$F$25)</f>
        <v>4.2925824175824153E-4</v>
      </c>
      <c r="K19" s="9">
        <f>'Sticky Wild'!$B$25*1*(1-'Sticky Wild'!$D$25)*(1-'Sticky Wild'!$E$25)*1</f>
        <v>5.1510989010988958E-3</v>
      </c>
      <c r="L19" s="9">
        <f>'Sticky Wild'!$B$25*1*(1-'Sticky Wild'!$D$25)*1*(1-'Sticky Wild'!$F$25)</f>
        <v>5.580357142857143E-3</v>
      </c>
      <c r="M19" s="9">
        <f>'Sticky Wild'!$B$25*1*(1-'Sticky Wild'!$D$25)*1*1</f>
        <v>6.6964285714285685E-2</v>
      </c>
      <c r="N19" s="9">
        <f>'Sticky Wild'!$B$25*1*1*(1-'Sticky Wild'!$E$25)*(1-'Sticky Wild'!$F$25)</f>
        <v>6.0096153846153832E-3</v>
      </c>
      <c r="O19" s="9">
        <f>'Sticky Wild'!$B$25*1*1*(1-'Sticky Wild'!$E$25)*1</f>
        <v>7.2115384615384567E-2</v>
      </c>
      <c r="P19" s="9">
        <f>'Sticky Wild'!$B$25*1*1*1*(1-'Sticky Wild'!$F$25)</f>
        <v>7.8125000000000028E-2</v>
      </c>
      <c r="Q19" s="9">
        <f>'Sticky Wild'!$B$25*1*1*1*1</f>
        <v>0.9375</v>
      </c>
      <c r="R19" s="9">
        <f>0*(1-'Sticky Wild'!$C$25)*(1-'Sticky Wild'!$D$25)*(1-'Sticky Wild'!$E$25)*(1-'Sticky Wild'!$F$25)</f>
        <v>0</v>
      </c>
      <c r="S19" s="9">
        <f>0*(1-'Sticky Wild'!$C$25)*(1-'Sticky Wild'!$D$25)*(1-'Sticky Wild'!$E$25)*1</f>
        <v>0</v>
      </c>
      <c r="T19" s="9">
        <f>0*(1-'Sticky Wild'!$C$25)*(1-'Sticky Wild'!$D$25)*1*(1-'Sticky Wild'!$F$25)</f>
        <v>0</v>
      </c>
      <c r="U19" s="9">
        <f>0*(1-'Sticky Wild'!$C$25)*(1-'Sticky Wild'!$D$25)*1*1</f>
        <v>0</v>
      </c>
      <c r="V19" s="9">
        <f>0*(1-'Sticky Wild'!$C$25)*1*(1-'Sticky Wild'!$E$25)*(1-'Sticky Wild'!$F$25)</f>
        <v>0</v>
      </c>
      <c r="W19" s="9">
        <f>0*(1-'Sticky Wild'!$C$25)*1*(1-'Sticky Wild'!$E$25)*1</f>
        <v>0</v>
      </c>
      <c r="X19" s="9">
        <f>0*(1-'Sticky Wild'!$C$25)*1*1*(1-'Sticky Wild'!$F$25)</f>
        <v>0</v>
      </c>
      <c r="Y19" s="9">
        <f>0*(1-'Sticky Wild'!$C$25)*1*1*1</f>
        <v>0</v>
      </c>
      <c r="Z19" s="9">
        <f>0*1*(1-'Sticky Wild'!$D$25)*(1-'Sticky Wild'!$E$25)*(1-'Sticky Wild'!$F$25)</f>
        <v>0</v>
      </c>
      <c r="AA19" s="9">
        <f>0*1*(1-'Sticky Wild'!$D$25)*(1-'Sticky Wild'!$E$25)*1</f>
        <v>0</v>
      </c>
      <c r="AB19" s="9">
        <f>0*1*(1-'Sticky Wild'!$D$25)*1*(1-'Sticky Wild'!$F$25)</f>
        <v>0</v>
      </c>
      <c r="AC19" s="9">
        <f>0*1*(1-'Sticky Wild'!$D$25)*1*1</f>
        <v>0</v>
      </c>
      <c r="AD19" s="9">
        <f>0*1*1*(1-'Sticky Wild'!$E$25)*(1-'Sticky Wild'!$F$25)</f>
        <v>0</v>
      </c>
      <c r="AE19" s="9">
        <f>0*1*1*(1-'Sticky Wild'!$E$25)*1</f>
        <v>0</v>
      </c>
      <c r="AF19" s="9">
        <f>0*1*1*1*(1-'Sticky Wild'!$F$25)</f>
        <v>0</v>
      </c>
      <c r="AG19" s="9">
        <f>0*1*1*1*1</f>
        <v>0</v>
      </c>
    </row>
    <row r="20" spans="1:33" ht="15" customHeight="1">
      <c r="A20" s="2" t="str">
        <f>DEC2BIN(16,5)</f>
        <v>10000</v>
      </c>
      <c r="B20" s="9">
        <f>(1-'Sticky Wild'!$B$25)*'Sticky Wild'!$C$25*'Sticky Wild'!$D$25*'Sticky Wild'!$E$25*'Sticky Wild'!$F$25</f>
        <v>4.5833333333333337E-2</v>
      </c>
      <c r="C20" s="9">
        <f>(1-'Sticky Wild'!$B$25)*'Sticky Wild'!$C$25*'Sticky Wild'!$D$25*'Sticky Wild'!$E$25*0</f>
        <v>0</v>
      </c>
      <c r="D20" s="9">
        <f>(1-'Sticky Wild'!$B$25)*'Sticky Wild'!$C$25*'Sticky Wild'!$D$25*0*'Sticky Wild'!$F$25</f>
        <v>0</v>
      </c>
      <c r="E20" s="9">
        <f>(1-'Sticky Wild'!$B$25)*'Sticky Wild'!$C$25*'Sticky Wild'!$D$25*0*0</f>
        <v>0</v>
      </c>
      <c r="F20" s="9">
        <f>(1-'Sticky Wild'!$B$25)*'Sticky Wild'!$C$25*0*'Sticky Wild'!$E$25*'Sticky Wild'!$F$25</f>
        <v>0</v>
      </c>
      <c r="G20" s="9">
        <f>(1-'Sticky Wild'!$B$25)*'Sticky Wild'!$C$25*0*'Sticky Wild'!$E$25*0</f>
        <v>0</v>
      </c>
      <c r="H20" s="9">
        <f>(1-'Sticky Wild'!$B$25)*'Sticky Wild'!$C$25*0*0*'Sticky Wild'!$F$25</f>
        <v>0</v>
      </c>
      <c r="I20" s="9">
        <f>(1-'Sticky Wild'!$B$25)*'Sticky Wild'!$C$25*0*0*0</f>
        <v>0</v>
      </c>
      <c r="J20" s="9">
        <f>(1-'Sticky Wild'!$B$25)*0*'Sticky Wild'!$D$25*'Sticky Wild'!$E$25*'Sticky Wild'!$F$25</f>
        <v>0</v>
      </c>
      <c r="K20" s="9">
        <f>(1-'Sticky Wild'!$B$25)*0*'Sticky Wild'!$D$25*'Sticky Wild'!$E$25*0</f>
        <v>0</v>
      </c>
      <c r="L20" s="9">
        <f>(1-'Sticky Wild'!$B$25)*0*'Sticky Wild'!$D$25*0*'Sticky Wild'!$F$25</f>
        <v>0</v>
      </c>
      <c r="M20" s="9">
        <f>(1-'Sticky Wild'!$B$25)*0*'Sticky Wild'!$D$25*0*0</f>
        <v>0</v>
      </c>
      <c r="N20" s="9">
        <f>(1-'Sticky Wild'!$B$25)*0*0*'Sticky Wild'!$E$25*'Sticky Wild'!$F$25</f>
        <v>0</v>
      </c>
      <c r="O20" s="9">
        <f>(1-'Sticky Wild'!$B$25)*0*0*'Sticky Wild'!$E$25*0</f>
        <v>0</v>
      </c>
      <c r="P20" s="9">
        <f>(1-'Sticky Wild'!$B$25)*0*0*0*'Sticky Wild'!$F$25</f>
        <v>0</v>
      </c>
      <c r="Q20" s="9">
        <f>(1-'Sticky Wild'!$B$25)*0*0*0*0</f>
        <v>0</v>
      </c>
      <c r="R20" s="9">
        <f>1*'Sticky Wild'!$C$25*'Sticky Wild'!$D$25*'Sticky Wild'!$E$25*'Sticky Wild'!$F$25</f>
        <v>0.73333333333333339</v>
      </c>
      <c r="S20" s="9">
        <f>1*'Sticky Wild'!$C$25*'Sticky Wild'!$D$25*'Sticky Wild'!$E$25*0</f>
        <v>0</v>
      </c>
      <c r="T20" s="9">
        <f>1*'Sticky Wild'!$C$25*'Sticky Wild'!$D$25*0*'Sticky Wild'!$F$25</f>
        <v>0</v>
      </c>
      <c r="U20" s="9">
        <f>1*'Sticky Wild'!$C$25*'Sticky Wild'!$D$25*0*0</f>
        <v>0</v>
      </c>
      <c r="V20" s="9">
        <f>1*'Sticky Wild'!$C$25*0*'Sticky Wild'!$E$25*'Sticky Wild'!$F$25</f>
        <v>0</v>
      </c>
      <c r="W20" s="9">
        <f>1*'Sticky Wild'!$C$25*0*'Sticky Wild'!$E$25*0</f>
        <v>0</v>
      </c>
      <c r="X20" s="9">
        <f>1*'Sticky Wild'!$C$25*0*0*'Sticky Wild'!$F$25</f>
        <v>0</v>
      </c>
      <c r="Y20" s="9">
        <f>1*'Sticky Wild'!$C$25*0*0*0</f>
        <v>0</v>
      </c>
      <c r="Z20" s="9">
        <f>1*0*'Sticky Wild'!$D$25*'Sticky Wild'!$E$25*'Sticky Wild'!$F$25</f>
        <v>0</v>
      </c>
      <c r="AA20" s="9">
        <f>1*0*'Sticky Wild'!$D$25*'Sticky Wild'!$E$25*0</f>
        <v>0</v>
      </c>
      <c r="AB20" s="9">
        <f>1*0*'Sticky Wild'!$D$25*0*'Sticky Wild'!$F$25</f>
        <v>0</v>
      </c>
      <c r="AC20" s="9">
        <f>1*0*'Sticky Wild'!$D$25*0*0</f>
        <v>0</v>
      </c>
      <c r="AD20" s="9">
        <f>1*0*0*'Sticky Wild'!$E$25*'Sticky Wild'!$F$25</f>
        <v>0</v>
      </c>
      <c r="AE20" s="9">
        <f>1*0*0*'Sticky Wild'!$E$25*0</f>
        <v>0</v>
      </c>
      <c r="AF20" s="9">
        <f>1*0*0*0*'Sticky Wild'!$F$25</f>
        <v>0</v>
      </c>
      <c r="AG20" s="9">
        <f>1*0*0*0*0</f>
        <v>0</v>
      </c>
    </row>
    <row r="21" spans="1:33" ht="15" customHeight="1">
      <c r="A21" s="2" t="str">
        <f>DEC2BIN(17,5)</f>
        <v>10001</v>
      </c>
      <c r="B21" s="9">
        <f>(1-'Sticky Wild'!$B$25)*'Sticky Wild'!$C$25*'Sticky Wild'!$D$25*'Sticky Wild'!$E$25*(1-'Sticky Wild'!$F$25)</f>
        <v>4.1666666666666683E-3</v>
      </c>
      <c r="C21" s="9">
        <f>(1-'Sticky Wild'!$B$25)*'Sticky Wild'!$C$25*'Sticky Wild'!$D$25*'Sticky Wild'!$E$25*1</f>
        <v>0.05</v>
      </c>
      <c r="D21" s="9">
        <f>(1-'Sticky Wild'!$B$25)*'Sticky Wild'!$C$25*'Sticky Wild'!$D$25*0*(1-'Sticky Wild'!$F$25)</f>
        <v>0</v>
      </c>
      <c r="E21" s="9">
        <f>(1-'Sticky Wild'!$B$25)*'Sticky Wild'!$C$25*'Sticky Wild'!$D$25*0*1</f>
        <v>0</v>
      </c>
      <c r="F21" s="9">
        <f>(1-'Sticky Wild'!$B$25)*'Sticky Wild'!$C$25*0*'Sticky Wild'!$E$25*(1-'Sticky Wild'!$F$25)</f>
        <v>0</v>
      </c>
      <c r="G21" s="9">
        <f>(1-'Sticky Wild'!$B$25)*'Sticky Wild'!$C$25*0*'Sticky Wild'!$E$25*1</f>
        <v>0</v>
      </c>
      <c r="H21" s="9">
        <f>(1-'Sticky Wild'!$B$25)*'Sticky Wild'!$C$25*0*0*(1-'Sticky Wild'!$F$25)</f>
        <v>0</v>
      </c>
      <c r="I21" s="9">
        <f>(1-'Sticky Wild'!$B$25)*'Sticky Wild'!$C$25*0*0*1</f>
        <v>0</v>
      </c>
      <c r="J21" s="9">
        <f>(1-'Sticky Wild'!$B$25)*0*'Sticky Wild'!$D$25*'Sticky Wild'!$E$25*(1-'Sticky Wild'!$F$25)</f>
        <v>0</v>
      </c>
      <c r="K21" s="9">
        <f>(1-'Sticky Wild'!$B$25)*0*'Sticky Wild'!$D$25*'Sticky Wild'!$E$25*1</f>
        <v>0</v>
      </c>
      <c r="L21" s="9">
        <f>(1-'Sticky Wild'!$B$25)*0*'Sticky Wild'!$D$25*0*(1-'Sticky Wild'!$F$25)</f>
        <v>0</v>
      </c>
      <c r="M21" s="9">
        <f>(1-'Sticky Wild'!$B$25)*0*'Sticky Wild'!$D$25*0*1</f>
        <v>0</v>
      </c>
      <c r="N21" s="9">
        <f>(1-'Sticky Wild'!$B$25)*0*0*'Sticky Wild'!$E$25*(1-'Sticky Wild'!$F$25)</f>
        <v>0</v>
      </c>
      <c r="O21" s="9">
        <f>(1-'Sticky Wild'!$B$25)*0*0*'Sticky Wild'!$E$25*1</f>
        <v>0</v>
      </c>
      <c r="P21" s="9">
        <f>(1-'Sticky Wild'!$B$25)*0*0*0*(1-'Sticky Wild'!$F$25)</f>
        <v>0</v>
      </c>
      <c r="Q21" s="9">
        <f>(1-'Sticky Wild'!$B$25)*0*0*0*1</f>
        <v>0</v>
      </c>
      <c r="R21" s="9">
        <f>1*'Sticky Wild'!$C$25*'Sticky Wild'!$D$25*'Sticky Wild'!$E$25*(1-'Sticky Wild'!$F$25)</f>
        <v>6.6666666666666693E-2</v>
      </c>
      <c r="S21" s="9">
        <f>1*'Sticky Wild'!$C$25*'Sticky Wild'!$D$25*'Sticky Wild'!$E$25*1</f>
        <v>0.8</v>
      </c>
      <c r="T21" s="9">
        <f>1*'Sticky Wild'!$C$25*'Sticky Wild'!$D$25*0*(1-'Sticky Wild'!$F$25)</f>
        <v>0</v>
      </c>
      <c r="U21" s="9">
        <f>1*'Sticky Wild'!$C$25*'Sticky Wild'!$D$25*0*1</f>
        <v>0</v>
      </c>
      <c r="V21" s="9">
        <f>1*'Sticky Wild'!$C$25*0*'Sticky Wild'!$E$25*(1-'Sticky Wild'!$F$25)</f>
        <v>0</v>
      </c>
      <c r="W21" s="9">
        <f>1*'Sticky Wild'!$C$25*0*'Sticky Wild'!$E$25*1</f>
        <v>0</v>
      </c>
      <c r="X21" s="9">
        <f>1*'Sticky Wild'!$C$25*0*0*(1-'Sticky Wild'!$F$25)</f>
        <v>0</v>
      </c>
      <c r="Y21" s="9">
        <f>1*'Sticky Wild'!$C$25*0*0*1</f>
        <v>0</v>
      </c>
      <c r="Z21" s="9">
        <f>1*0*'Sticky Wild'!$D$25*'Sticky Wild'!$E$25*(1-'Sticky Wild'!$F$25)</f>
        <v>0</v>
      </c>
      <c r="AA21" s="9">
        <f>1*0*'Sticky Wild'!$D$25*'Sticky Wild'!$E$25*1</f>
        <v>0</v>
      </c>
      <c r="AB21" s="9">
        <f>1*0*'Sticky Wild'!$D$25*0*(1-'Sticky Wild'!$F$25)</f>
        <v>0</v>
      </c>
      <c r="AC21" s="9">
        <f>1*0*'Sticky Wild'!$D$25*0*1</f>
        <v>0</v>
      </c>
      <c r="AD21" s="9">
        <f>1*0*0*'Sticky Wild'!$E$25*(1-'Sticky Wild'!$F$25)</f>
        <v>0</v>
      </c>
      <c r="AE21" s="9">
        <f>1*0*0*'Sticky Wild'!$E$25*1</f>
        <v>0</v>
      </c>
      <c r="AF21" s="9">
        <f>1*0*0*0*(1-'Sticky Wild'!$F$25)</f>
        <v>0</v>
      </c>
      <c r="AG21" s="9">
        <f>1*0*0*0*1</f>
        <v>0</v>
      </c>
    </row>
    <row r="22" spans="1:33" ht="15" customHeight="1">
      <c r="A22" s="2" t="str">
        <f>DEC2BIN(18,5)</f>
        <v>10010</v>
      </c>
      <c r="B22" s="9">
        <f>(1-'Sticky Wild'!$B$25)*'Sticky Wild'!$C$25*'Sticky Wild'!$D$25*(1-'Sticky Wild'!$E$25)*'Sticky Wild'!$F$25</f>
        <v>3.8194444444444417E-3</v>
      </c>
      <c r="C22" s="9">
        <f>(1-'Sticky Wild'!$B$25)*'Sticky Wild'!$C$25*'Sticky Wild'!$D$25*(1-'Sticky Wild'!$E$25)*0</f>
        <v>0</v>
      </c>
      <c r="D22" s="9">
        <f>(1-'Sticky Wild'!$B$25)*'Sticky Wild'!$C$25*'Sticky Wild'!$D$25*1*'Sticky Wild'!$F$25</f>
        <v>4.9652777777777775E-2</v>
      </c>
      <c r="E22" s="9">
        <f>(1-'Sticky Wild'!$B$25)*'Sticky Wild'!$C$25*'Sticky Wild'!$D$25*1*0</f>
        <v>0</v>
      </c>
      <c r="F22" s="9">
        <f>(1-'Sticky Wild'!$B$25)*'Sticky Wild'!$C$25*0*(1-'Sticky Wild'!$E$25)*'Sticky Wild'!$F$25</f>
        <v>0</v>
      </c>
      <c r="G22" s="9">
        <f>(1-'Sticky Wild'!$B$25)*'Sticky Wild'!$C$25*0*(1-'Sticky Wild'!$E$25)*0</f>
        <v>0</v>
      </c>
      <c r="H22" s="9">
        <f>(1-'Sticky Wild'!$B$25)*'Sticky Wild'!$C$25*0*1*'Sticky Wild'!$F$25</f>
        <v>0</v>
      </c>
      <c r="I22" s="9">
        <f>(1-'Sticky Wild'!$B$25)*'Sticky Wild'!$C$25*0*1*0</f>
        <v>0</v>
      </c>
      <c r="J22" s="9">
        <f>(1-'Sticky Wild'!$B$25)*0*'Sticky Wild'!$D$25*(1-'Sticky Wild'!$E$25)*'Sticky Wild'!$F$25</f>
        <v>0</v>
      </c>
      <c r="K22" s="9">
        <f>(1-'Sticky Wild'!$B$25)*0*'Sticky Wild'!$D$25*(1-'Sticky Wild'!$E$25)*0</f>
        <v>0</v>
      </c>
      <c r="L22" s="9">
        <f>(1-'Sticky Wild'!$B$25)*0*'Sticky Wild'!$D$25*1*'Sticky Wild'!$F$25</f>
        <v>0</v>
      </c>
      <c r="M22" s="9">
        <f>(1-'Sticky Wild'!$B$25)*0*'Sticky Wild'!$D$25*1*0</f>
        <v>0</v>
      </c>
      <c r="N22" s="9">
        <f>(1-'Sticky Wild'!$B$25)*0*0*(1-'Sticky Wild'!$E$25)*'Sticky Wild'!$F$25</f>
        <v>0</v>
      </c>
      <c r="O22" s="9">
        <f>(1-'Sticky Wild'!$B$25)*0*0*(1-'Sticky Wild'!$E$25)*0</f>
        <v>0</v>
      </c>
      <c r="P22" s="9">
        <f>(1-'Sticky Wild'!$B$25)*0*0*1*'Sticky Wild'!$F$25</f>
        <v>0</v>
      </c>
      <c r="Q22" s="9">
        <f>(1-'Sticky Wild'!$B$25)*0*0*1*0</f>
        <v>0</v>
      </c>
      <c r="R22" s="9">
        <f>1*'Sticky Wild'!$C$25*'Sticky Wild'!$D$25*(1-'Sticky Wild'!$E$25)*'Sticky Wild'!$F$25</f>
        <v>6.1111111111111067E-2</v>
      </c>
      <c r="S22" s="9">
        <f>1*'Sticky Wild'!$C$25*'Sticky Wild'!$D$25*(1-'Sticky Wild'!$E$25)*0</f>
        <v>0</v>
      </c>
      <c r="T22" s="9">
        <f>1*'Sticky Wild'!$C$25*'Sticky Wild'!$D$25*1*'Sticky Wild'!$F$25</f>
        <v>0.7944444444444444</v>
      </c>
      <c r="U22" s="9">
        <f>1*'Sticky Wild'!$C$25*'Sticky Wild'!$D$25*1*0</f>
        <v>0</v>
      </c>
      <c r="V22" s="9">
        <f>1*'Sticky Wild'!$C$25*0*(1-'Sticky Wild'!$E$25)*'Sticky Wild'!$F$25</f>
        <v>0</v>
      </c>
      <c r="W22" s="9">
        <f>1*'Sticky Wild'!$C$25*0*(1-'Sticky Wild'!$E$25)*0</f>
        <v>0</v>
      </c>
      <c r="X22" s="9">
        <f>1*'Sticky Wild'!$C$25*0*1*'Sticky Wild'!$F$25</f>
        <v>0</v>
      </c>
      <c r="Y22" s="9">
        <f>1*'Sticky Wild'!$C$25*0*1*0</f>
        <v>0</v>
      </c>
      <c r="Z22" s="9">
        <f>1*0*'Sticky Wild'!$D$25*(1-'Sticky Wild'!$E$25)*'Sticky Wild'!$F$25</f>
        <v>0</v>
      </c>
      <c r="AA22" s="9">
        <f>1*0*'Sticky Wild'!$D$25*(1-'Sticky Wild'!$E$25)*0</f>
        <v>0</v>
      </c>
      <c r="AB22" s="9">
        <f>1*0*'Sticky Wild'!$D$25*1*'Sticky Wild'!$F$25</f>
        <v>0</v>
      </c>
      <c r="AC22" s="9">
        <f>1*0*'Sticky Wild'!$D$25*1*0</f>
        <v>0</v>
      </c>
      <c r="AD22" s="9">
        <f>1*0*0*(1-'Sticky Wild'!$E$25)*'Sticky Wild'!$F$25</f>
        <v>0</v>
      </c>
      <c r="AE22" s="9">
        <f>1*0*0*(1-'Sticky Wild'!$E$25)*0</f>
        <v>0</v>
      </c>
      <c r="AF22" s="9">
        <f>1*0*0*1*'Sticky Wild'!$F$25</f>
        <v>0</v>
      </c>
      <c r="AG22" s="9">
        <f>1*0*0*1*0</f>
        <v>0</v>
      </c>
    </row>
    <row r="23" spans="1:33" ht="15" customHeight="1">
      <c r="A23" s="2" t="str">
        <f>DEC2BIN(19,5)</f>
        <v>10011</v>
      </c>
      <c r="B23" s="9">
        <f>(1-'Sticky Wild'!$B$25)*'Sticky Wild'!$C$25*'Sticky Wild'!$D$25*(1-'Sticky Wild'!$E$25)*(1-'Sticky Wild'!$F$25)</f>
        <v>3.4722222222222218E-4</v>
      </c>
      <c r="C23" s="9">
        <f>(1-'Sticky Wild'!$B$25)*'Sticky Wild'!$C$25*'Sticky Wild'!$D$25*(1-'Sticky Wild'!$E$25)*1</f>
        <v>4.166666666666664E-3</v>
      </c>
      <c r="D23" s="9">
        <f>(1-'Sticky Wild'!$B$25)*'Sticky Wild'!$C$25*'Sticky Wild'!$D$25*1*(1-'Sticky Wild'!$F$25)</f>
        <v>4.5138888888888911E-3</v>
      </c>
      <c r="E23" s="9">
        <f>(1-'Sticky Wild'!$B$25)*'Sticky Wild'!$C$25*'Sticky Wild'!$D$25*1*1</f>
        <v>5.4166666666666669E-2</v>
      </c>
      <c r="F23" s="9">
        <f>(1-'Sticky Wild'!$B$25)*'Sticky Wild'!$C$25*0*(1-'Sticky Wild'!$E$25)*(1-'Sticky Wild'!$F$25)</f>
        <v>0</v>
      </c>
      <c r="G23" s="9">
        <f>(1-'Sticky Wild'!$B$25)*'Sticky Wild'!$C$25*0*(1-'Sticky Wild'!$E$25)*1</f>
        <v>0</v>
      </c>
      <c r="H23" s="9">
        <f>(1-'Sticky Wild'!$B$25)*'Sticky Wild'!$C$25*0*1*(1-'Sticky Wild'!$F$25)</f>
        <v>0</v>
      </c>
      <c r="I23" s="9">
        <f>(1-'Sticky Wild'!$B$25)*'Sticky Wild'!$C$25*0*1*1</f>
        <v>0</v>
      </c>
      <c r="J23" s="9">
        <f>(1-'Sticky Wild'!$B$25)*0*'Sticky Wild'!$D$25*(1-'Sticky Wild'!$E$25)*(1-'Sticky Wild'!$F$25)</f>
        <v>0</v>
      </c>
      <c r="K23" s="9">
        <f>(1-'Sticky Wild'!$B$25)*0*'Sticky Wild'!$D$25*(1-'Sticky Wild'!$E$25)*1</f>
        <v>0</v>
      </c>
      <c r="L23" s="9">
        <f>(1-'Sticky Wild'!$B$25)*0*'Sticky Wild'!$D$25*1*(1-'Sticky Wild'!$F$25)</f>
        <v>0</v>
      </c>
      <c r="M23" s="9">
        <f>(1-'Sticky Wild'!$B$25)*0*'Sticky Wild'!$D$25*1*1</f>
        <v>0</v>
      </c>
      <c r="N23" s="9">
        <f>(1-'Sticky Wild'!$B$25)*0*0*(1-'Sticky Wild'!$E$25)*(1-'Sticky Wild'!$F$25)</f>
        <v>0</v>
      </c>
      <c r="O23" s="9">
        <f>(1-'Sticky Wild'!$B$25)*0*0*(1-'Sticky Wild'!$E$25)*1</f>
        <v>0</v>
      </c>
      <c r="P23" s="9">
        <f>(1-'Sticky Wild'!$B$25)*0*0*1*(1-'Sticky Wild'!$F$25)</f>
        <v>0</v>
      </c>
      <c r="Q23" s="9">
        <f>(1-'Sticky Wild'!$B$25)*0*0*1*1</f>
        <v>0</v>
      </c>
      <c r="R23" s="9">
        <f>1*'Sticky Wild'!$C$25*'Sticky Wild'!$D$25*(1-'Sticky Wild'!$E$25)*(1-'Sticky Wild'!$F$25)</f>
        <v>5.5555555555555549E-3</v>
      </c>
      <c r="S23" s="9">
        <f>1*'Sticky Wild'!$C$25*'Sticky Wild'!$D$25*(1-'Sticky Wild'!$E$25)*1</f>
        <v>6.6666666666666624E-2</v>
      </c>
      <c r="T23" s="9">
        <f>1*'Sticky Wild'!$C$25*'Sticky Wild'!$D$25*1*(1-'Sticky Wild'!$F$25)</f>
        <v>7.2222222222222257E-2</v>
      </c>
      <c r="U23" s="9">
        <f>1*'Sticky Wild'!$C$25*'Sticky Wild'!$D$25*1*1</f>
        <v>0.8666666666666667</v>
      </c>
      <c r="V23" s="9">
        <f>1*'Sticky Wild'!$C$25*0*(1-'Sticky Wild'!$E$25)*(1-'Sticky Wild'!$F$25)</f>
        <v>0</v>
      </c>
      <c r="W23" s="9">
        <f>1*'Sticky Wild'!$C$25*0*(1-'Sticky Wild'!$E$25)*1</f>
        <v>0</v>
      </c>
      <c r="X23" s="9">
        <f>1*'Sticky Wild'!$C$25*0*1*(1-'Sticky Wild'!$F$25)</f>
        <v>0</v>
      </c>
      <c r="Y23" s="9">
        <f>1*'Sticky Wild'!$C$25*0*1*1</f>
        <v>0</v>
      </c>
      <c r="Z23" s="9">
        <f>1*0*'Sticky Wild'!$D$25*(1-'Sticky Wild'!$E$25)*(1-'Sticky Wild'!$F$25)</f>
        <v>0</v>
      </c>
      <c r="AA23" s="9">
        <f>1*0*'Sticky Wild'!$D$25*(1-'Sticky Wild'!$E$25)*1</f>
        <v>0</v>
      </c>
      <c r="AB23" s="9">
        <f>1*0*'Sticky Wild'!$D$25*1*(1-'Sticky Wild'!$F$25)</f>
        <v>0</v>
      </c>
      <c r="AC23" s="9">
        <f>1*0*'Sticky Wild'!$D$25*1*1</f>
        <v>0</v>
      </c>
      <c r="AD23" s="9">
        <f>1*0*0*(1-'Sticky Wild'!$E$25)*(1-'Sticky Wild'!$F$25)</f>
        <v>0</v>
      </c>
      <c r="AE23" s="9">
        <f>1*0*0*(1-'Sticky Wild'!$E$25)*1</f>
        <v>0</v>
      </c>
      <c r="AF23" s="9">
        <f>1*0*0*1*(1-'Sticky Wild'!$F$25)</f>
        <v>0</v>
      </c>
      <c r="AG23" s="9">
        <f>1*0*0*1*1</f>
        <v>0</v>
      </c>
    </row>
    <row r="24" spans="1:33" ht="15" customHeight="1">
      <c r="A24" s="2" t="str">
        <f>DEC2BIN(20,5)</f>
        <v>10100</v>
      </c>
      <c r="B24" s="9">
        <f>(1-'Sticky Wild'!$B$25)*'Sticky Wild'!$C$25*(1-'Sticky Wild'!$D$25)*'Sticky Wild'!$E$25*'Sticky Wild'!$F$25</f>
        <v>3.525641025641024E-3</v>
      </c>
      <c r="C24" s="9">
        <f>(1-'Sticky Wild'!$B$25)*'Sticky Wild'!$C$25*(1-'Sticky Wild'!$D$25)*'Sticky Wild'!$E$25*0</f>
        <v>0</v>
      </c>
      <c r="D24" s="9">
        <f>(1-'Sticky Wild'!$B$25)*'Sticky Wild'!$C$25*(1-'Sticky Wild'!$D$25)*0*'Sticky Wild'!$F$25</f>
        <v>0</v>
      </c>
      <c r="E24" s="9">
        <f>(1-'Sticky Wild'!$B$25)*'Sticky Wild'!$C$25*(1-'Sticky Wild'!$D$25)*0*0</f>
        <v>0</v>
      </c>
      <c r="F24" s="9">
        <f>(1-'Sticky Wild'!$B$25)*'Sticky Wild'!$C$25*1*'Sticky Wild'!$E$25*'Sticky Wild'!$F$25</f>
        <v>4.9358974358974357E-2</v>
      </c>
      <c r="G24" s="9">
        <f>(1-'Sticky Wild'!$B$25)*'Sticky Wild'!$C$25*1*'Sticky Wild'!$E$25*0</f>
        <v>0</v>
      </c>
      <c r="H24" s="9">
        <f>(1-'Sticky Wild'!$B$25)*'Sticky Wild'!$C$25*1*0*'Sticky Wild'!$F$25</f>
        <v>0</v>
      </c>
      <c r="I24" s="9">
        <f>(1-'Sticky Wild'!$B$25)*'Sticky Wild'!$C$25*1*0*0</f>
        <v>0</v>
      </c>
      <c r="J24" s="9">
        <f>(1-'Sticky Wild'!$B$25)*0*(1-'Sticky Wild'!$D$25)*'Sticky Wild'!$E$25*'Sticky Wild'!$F$25</f>
        <v>0</v>
      </c>
      <c r="K24" s="9">
        <f>(1-'Sticky Wild'!$B$25)*0*(1-'Sticky Wild'!$D$25)*'Sticky Wild'!$E$25*0</f>
        <v>0</v>
      </c>
      <c r="L24" s="9">
        <f>(1-'Sticky Wild'!$B$25)*0*(1-'Sticky Wild'!$D$25)*0*'Sticky Wild'!$F$25</f>
        <v>0</v>
      </c>
      <c r="M24" s="9">
        <f>(1-'Sticky Wild'!$B$25)*0*(1-'Sticky Wild'!$D$25)*0*0</f>
        <v>0</v>
      </c>
      <c r="N24" s="9">
        <f>(1-'Sticky Wild'!$B$25)*0*1*'Sticky Wild'!$E$25*'Sticky Wild'!$F$25</f>
        <v>0</v>
      </c>
      <c r="O24" s="9">
        <f>(1-'Sticky Wild'!$B$25)*0*1*'Sticky Wild'!$E$25*0</f>
        <v>0</v>
      </c>
      <c r="P24" s="9">
        <f>(1-'Sticky Wild'!$B$25)*0*1*0*'Sticky Wild'!$F$25</f>
        <v>0</v>
      </c>
      <c r="Q24" s="9">
        <f>(1-'Sticky Wild'!$B$25)*0*1*0*0</f>
        <v>0</v>
      </c>
      <c r="R24" s="9">
        <f>1*'Sticky Wild'!$C$25*(1-'Sticky Wild'!$D$25)*'Sticky Wild'!$E$25*'Sticky Wild'!$F$25</f>
        <v>5.6410256410256383E-2</v>
      </c>
      <c r="S24" s="9">
        <f>1*'Sticky Wild'!$C$25*(1-'Sticky Wild'!$D$25)*'Sticky Wild'!$E$25*0</f>
        <v>0</v>
      </c>
      <c r="T24" s="9">
        <f>1*'Sticky Wild'!$C$25*(1-'Sticky Wild'!$D$25)*0*'Sticky Wild'!$F$25</f>
        <v>0</v>
      </c>
      <c r="U24" s="9">
        <f>1*'Sticky Wild'!$C$25*(1-'Sticky Wild'!$D$25)*0*0</f>
        <v>0</v>
      </c>
      <c r="V24" s="9">
        <f>1*'Sticky Wild'!$C$25*1*'Sticky Wild'!$E$25*'Sticky Wild'!$F$25</f>
        <v>0.78974358974358971</v>
      </c>
      <c r="W24" s="9">
        <f>1*'Sticky Wild'!$C$25*1*'Sticky Wild'!$E$25*0</f>
        <v>0</v>
      </c>
      <c r="X24" s="9">
        <f>1*'Sticky Wild'!$C$25*1*0*'Sticky Wild'!$F$25</f>
        <v>0</v>
      </c>
      <c r="Y24" s="9">
        <f>1*'Sticky Wild'!$C$25*1*0*0</f>
        <v>0</v>
      </c>
      <c r="Z24" s="9">
        <f>1*0*(1-'Sticky Wild'!$D$25)*'Sticky Wild'!$E$25*'Sticky Wild'!$F$25</f>
        <v>0</v>
      </c>
      <c r="AA24" s="9">
        <f>1*0*(1-'Sticky Wild'!$D$25)*'Sticky Wild'!$E$25*0</f>
        <v>0</v>
      </c>
      <c r="AB24" s="9">
        <f>1*0*(1-'Sticky Wild'!$D$25)*0*'Sticky Wild'!$F$25</f>
        <v>0</v>
      </c>
      <c r="AC24" s="9">
        <f>1*0*(1-'Sticky Wild'!$D$25)*0*0</f>
        <v>0</v>
      </c>
      <c r="AD24" s="9">
        <f>1*0*1*'Sticky Wild'!$E$25*'Sticky Wild'!$F$25</f>
        <v>0</v>
      </c>
      <c r="AE24" s="9">
        <f>1*0*1*'Sticky Wild'!$E$25*0</f>
        <v>0</v>
      </c>
      <c r="AF24" s="9">
        <f>1*0*1*0*'Sticky Wild'!$F$25</f>
        <v>0</v>
      </c>
      <c r="AG24" s="9">
        <f>1*0*1*0*0</f>
        <v>0</v>
      </c>
    </row>
    <row r="25" spans="1:33" ht="15" customHeight="1">
      <c r="A25" s="2" t="str">
        <f>DEC2BIN(21,5)</f>
        <v>10101</v>
      </c>
      <c r="B25" s="9">
        <f>(1-'Sticky Wild'!$B$25)*'Sticky Wild'!$C$25*(1-'Sticky Wild'!$D$25)*'Sticky Wild'!$E$25*(1-'Sticky Wild'!$F$25)</f>
        <v>3.2051282051282051E-4</v>
      </c>
      <c r="C25" s="9">
        <f>(1-'Sticky Wild'!$B$25)*'Sticky Wild'!$C$25*(1-'Sticky Wild'!$D$25)*'Sticky Wild'!$E$25*1</f>
        <v>3.8461538461538446E-3</v>
      </c>
      <c r="D25" s="9">
        <f>(1-'Sticky Wild'!$B$25)*'Sticky Wild'!$C$25*(1-'Sticky Wild'!$D$25)*0*(1-'Sticky Wild'!$F$25)</f>
        <v>0</v>
      </c>
      <c r="E25" s="9">
        <f>(1-'Sticky Wild'!$B$25)*'Sticky Wild'!$C$25*(1-'Sticky Wild'!$D$25)*0*1</f>
        <v>0</v>
      </c>
      <c r="F25" s="9">
        <f>(1-'Sticky Wild'!$B$25)*'Sticky Wild'!$C$25*1*'Sticky Wild'!$E$25*(1-'Sticky Wild'!$F$25)</f>
        <v>4.4871794871794895E-3</v>
      </c>
      <c r="G25" s="9">
        <f>(1-'Sticky Wild'!$B$25)*'Sticky Wild'!$C$25*1*'Sticky Wild'!$E$25*1</f>
        <v>5.3846153846153849E-2</v>
      </c>
      <c r="H25" s="9">
        <f>(1-'Sticky Wild'!$B$25)*'Sticky Wild'!$C$25*1*0*(1-'Sticky Wild'!$F$25)</f>
        <v>0</v>
      </c>
      <c r="I25" s="9">
        <f>(1-'Sticky Wild'!$B$25)*'Sticky Wild'!$C$25*1*0*1</f>
        <v>0</v>
      </c>
      <c r="J25" s="9">
        <f>(1-'Sticky Wild'!$B$25)*0*(1-'Sticky Wild'!$D$25)*'Sticky Wild'!$E$25*(1-'Sticky Wild'!$F$25)</f>
        <v>0</v>
      </c>
      <c r="K25" s="9">
        <f>(1-'Sticky Wild'!$B$25)*0*(1-'Sticky Wild'!$D$25)*'Sticky Wild'!$E$25*1</f>
        <v>0</v>
      </c>
      <c r="L25" s="9">
        <f>(1-'Sticky Wild'!$B$25)*0*(1-'Sticky Wild'!$D$25)*0*(1-'Sticky Wild'!$F$25)</f>
        <v>0</v>
      </c>
      <c r="M25" s="9">
        <f>(1-'Sticky Wild'!$B$25)*0*(1-'Sticky Wild'!$D$25)*0*1</f>
        <v>0</v>
      </c>
      <c r="N25" s="9">
        <f>(1-'Sticky Wild'!$B$25)*0*1*'Sticky Wild'!$E$25*(1-'Sticky Wild'!$F$25)</f>
        <v>0</v>
      </c>
      <c r="O25" s="9">
        <f>(1-'Sticky Wild'!$B$25)*0*1*'Sticky Wild'!$E$25*1</f>
        <v>0</v>
      </c>
      <c r="P25" s="9">
        <f>(1-'Sticky Wild'!$B$25)*0*1*0*(1-'Sticky Wild'!$F$25)</f>
        <v>0</v>
      </c>
      <c r="Q25" s="9">
        <f>(1-'Sticky Wild'!$B$25)*0*1*0*1</f>
        <v>0</v>
      </c>
      <c r="R25" s="9">
        <f>1*'Sticky Wild'!$C$25*(1-'Sticky Wild'!$D$25)*'Sticky Wild'!$E$25*(1-'Sticky Wild'!$F$25)</f>
        <v>5.1282051282051282E-3</v>
      </c>
      <c r="S25" s="9">
        <f>1*'Sticky Wild'!$C$25*(1-'Sticky Wild'!$D$25)*'Sticky Wild'!$E$25*1</f>
        <v>6.1538461538461514E-2</v>
      </c>
      <c r="T25" s="9">
        <f>1*'Sticky Wild'!$C$25*(1-'Sticky Wild'!$D$25)*0*(1-'Sticky Wild'!$F$25)</f>
        <v>0</v>
      </c>
      <c r="U25" s="9">
        <f>1*'Sticky Wild'!$C$25*(1-'Sticky Wild'!$D$25)*0*1</f>
        <v>0</v>
      </c>
      <c r="V25" s="9">
        <f>1*'Sticky Wild'!$C$25*1*'Sticky Wild'!$E$25*(1-'Sticky Wild'!$F$25)</f>
        <v>7.1794871794871831E-2</v>
      </c>
      <c r="W25" s="9">
        <f>1*'Sticky Wild'!$C$25*1*'Sticky Wild'!$E$25*1</f>
        <v>0.86153846153846159</v>
      </c>
      <c r="X25" s="9">
        <f>1*'Sticky Wild'!$C$25*1*0*(1-'Sticky Wild'!$F$25)</f>
        <v>0</v>
      </c>
      <c r="Y25" s="9">
        <f>1*'Sticky Wild'!$C$25*1*0*1</f>
        <v>0</v>
      </c>
      <c r="Z25" s="9">
        <f>1*0*(1-'Sticky Wild'!$D$25)*'Sticky Wild'!$E$25*(1-'Sticky Wild'!$F$25)</f>
        <v>0</v>
      </c>
      <c r="AA25" s="9">
        <f>1*0*(1-'Sticky Wild'!$D$25)*'Sticky Wild'!$E$25*1</f>
        <v>0</v>
      </c>
      <c r="AB25" s="9">
        <f>1*0*(1-'Sticky Wild'!$D$25)*0*(1-'Sticky Wild'!$F$25)</f>
        <v>0</v>
      </c>
      <c r="AC25" s="9">
        <f>1*0*(1-'Sticky Wild'!$D$25)*0*1</f>
        <v>0</v>
      </c>
      <c r="AD25" s="9">
        <f>1*0*1*'Sticky Wild'!$E$25*(1-'Sticky Wild'!$F$25)</f>
        <v>0</v>
      </c>
      <c r="AE25" s="9">
        <f>1*0*1*'Sticky Wild'!$E$25*1</f>
        <v>0</v>
      </c>
      <c r="AF25" s="9">
        <f>1*0*1*0*(1-'Sticky Wild'!$F$25)</f>
        <v>0</v>
      </c>
      <c r="AG25" s="9">
        <f>1*0*1*0*1</f>
        <v>0</v>
      </c>
    </row>
    <row r="26" spans="1:33" ht="15" customHeight="1">
      <c r="A26" s="2" t="str">
        <f>DEC2BIN(22,5)</f>
        <v>10110</v>
      </c>
      <c r="B26" s="9">
        <f>(1-'Sticky Wild'!$B$25)*'Sticky Wild'!$C$25*(1-'Sticky Wild'!$D$25)*(1-'Sticky Wild'!$E$25)*'Sticky Wild'!$F$25</f>
        <v>2.9380341880341852E-4</v>
      </c>
      <c r="C26" s="9">
        <f>(1-'Sticky Wild'!$B$25)*'Sticky Wild'!$C$25*(1-'Sticky Wild'!$D$25)*(1-'Sticky Wild'!$E$25)*0</f>
        <v>0</v>
      </c>
      <c r="D26" s="9">
        <f>(1-'Sticky Wild'!$B$25)*'Sticky Wild'!$C$25*(1-'Sticky Wild'!$D$25)*1*'Sticky Wild'!$F$25</f>
        <v>3.8194444444444426E-3</v>
      </c>
      <c r="E26" s="9">
        <f>(1-'Sticky Wild'!$B$25)*'Sticky Wild'!$C$25*(1-'Sticky Wild'!$D$25)*1*0</f>
        <v>0</v>
      </c>
      <c r="F26" s="9">
        <f>(1-'Sticky Wild'!$B$25)*'Sticky Wild'!$C$25*1*(1-'Sticky Wild'!$E$25)*'Sticky Wild'!$F$25</f>
        <v>4.1132478632478608E-3</v>
      </c>
      <c r="G26" s="9">
        <f>(1-'Sticky Wild'!$B$25)*'Sticky Wild'!$C$25*1*(1-'Sticky Wild'!$E$25)*0</f>
        <v>0</v>
      </c>
      <c r="H26" s="9">
        <f>(1-'Sticky Wild'!$B$25)*'Sticky Wild'!$C$25*1*1*'Sticky Wild'!$F$25</f>
        <v>5.347222222222222E-2</v>
      </c>
      <c r="I26" s="9">
        <f>(1-'Sticky Wild'!$B$25)*'Sticky Wild'!$C$25*1*1*0</f>
        <v>0</v>
      </c>
      <c r="J26" s="9">
        <f>(1-'Sticky Wild'!$B$25)*0*(1-'Sticky Wild'!$D$25)*(1-'Sticky Wild'!$E$25)*'Sticky Wild'!$F$25</f>
        <v>0</v>
      </c>
      <c r="K26" s="9">
        <f>(1-'Sticky Wild'!$B$25)*0*(1-'Sticky Wild'!$D$25)*(1-'Sticky Wild'!$E$25)*0</f>
        <v>0</v>
      </c>
      <c r="L26" s="9">
        <f>(1-'Sticky Wild'!$B$25)*0*(1-'Sticky Wild'!$D$25)*1*'Sticky Wild'!$F$25</f>
        <v>0</v>
      </c>
      <c r="M26" s="9">
        <f>(1-'Sticky Wild'!$B$25)*0*(1-'Sticky Wild'!$D$25)*1*0</f>
        <v>0</v>
      </c>
      <c r="N26" s="9">
        <f>(1-'Sticky Wild'!$B$25)*0*1*(1-'Sticky Wild'!$E$25)*'Sticky Wild'!$F$25</f>
        <v>0</v>
      </c>
      <c r="O26" s="9">
        <f>(1-'Sticky Wild'!$B$25)*0*1*(1-'Sticky Wild'!$E$25)*0</f>
        <v>0</v>
      </c>
      <c r="P26" s="9">
        <f>(1-'Sticky Wild'!$B$25)*0*1*1*'Sticky Wild'!$F$25</f>
        <v>0</v>
      </c>
      <c r="Q26" s="9">
        <f>(1-'Sticky Wild'!$B$25)*0*1*1*0</f>
        <v>0</v>
      </c>
      <c r="R26" s="9">
        <f>1*'Sticky Wild'!$C$25*(1-'Sticky Wild'!$D$25)*(1-'Sticky Wild'!$E$25)*'Sticky Wild'!$F$25</f>
        <v>4.7008547008546963E-3</v>
      </c>
      <c r="S26" s="9">
        <f>1*'Sticky Wild'!$C$25*(1-'Sticky Wild'!$D$25)*(1-'Sticky Wild'!$E$25)*0</f>
        <v>0</v>
      </c>
      <c r="T26" s="9">
        <f>1*'Sticky Wild'!$C$25*(1-'Sticky Wild'!$D$25)*1*'Sticky Wild'!$F$25</f>
        <v>6.1111111111111081E-2</v>
      </c>
      <c r="U26" s="9">
        <f>1*'Sticky Wild'!$C$25*(1-'Sticky Wild'!$D$25)*1*0</f>
        <v>0</v>
      </c>
      <c r="V26" s="9">
        <f>1*'Sticky Wild'!$C$25*1*(1-'Sticky Wild'!$E$25)*'Sticky Wild'!$F$25</f>
        <v>6.5811965811965772E-2</v>
      </c>
      <c r="W26" s="9">
        <f>1*'Sticky Wild'!$C$25*1*(1-'Sticky Wild'!$E$25)*0</f>
        <v>0</v>
      </c>
      <c r="X26" s="9">
        <f>1*'Sticky Wild'!$C$25*1*1*'Sticky Wild'!$F$25</f>
        <v>0.85555555555555551</v>
      </c>
      <c r="Y26" s="9">
        <f>1*'Sticky Wild'!$C$25*1*1*0</f>
        <v>0</v>
      </c>
      <c r="Z26" s="9">
        <f>1*0*(1-'Sticky Wild'!$D$25)*(1-'Sticky Wild'!$E$25)*'Sticky Wild'!$F$25</f>
        <v>0</v>
      </c>
      <c r="AA26" s="9">
        <f>1*0*(1-'Sticky Wild'!$D$25)*(1-'Sticky Wild'!$E$25)*0</f>
        <v>0</v>
      </c>
      <c r="AB26" s="9">
        <f>1*0*(1-'Sticky Wild'!$D$25)*1*'Sticky Wild'!$F$25</f>
        <v>0</v>
      </c>
      <c r="AC26" s="9">
        <f>1*0*(1-'Sticky Wild'!$D$25)*1*0</f>
        <v>0</v>
      </c>
      <c r="AD26" s="9">
        <f>1*0*1*(1-'Sticky Wild'!$E$25)*'Sticky Wild'!$F$25</f>
        <v>0</v>
      </c>
      <c r="AE26" s="9">
        <f>1*0*1*(1-'Sticky Wild'!$E$25)*0</f>
        <v>0</v>
      </c>
      <c r="AF26" s="9">
        <f>1*0*1*1*'Sticky Wild'!$F$25</f>
        <v>0</v>
      </c>
      <c r="AG26" s="9">
        <f>1*0*1*1*0</f>
        <v>0</v>
      </c>
    </row>
    <row r="27" spans="1:33" ht="15" customHeight="1">
      <c r="A27" s="2" t="str">
        <f>DEC2BIN(23,5)</f>
        <v>10111</v>
      </c>
      <c r="B27" s="9">
        <f>(1-'Sticky Wild'!$B$25)*'Sticky Wild'!$C$25*(1-'Sticky Wild'!$D$25)*(1-'Sticky Wild'!$E$25)*(1-'Sticky Wild'!$F$25)</f>
        <v>2.6709401709401696E-5</v>
      </c>
      <c r="C27" s="9">
        <f>(1-'Sticky Wild'!$B$25)*'Sticky Wild'!$C$25*(1-'Sticky Wild'!$D$25)*(1-'Sticky Wild'!$E$25)*1</f>
        <v>3.2051282051282019E-4</v>
      </c>
      <c r="D27" s="9">
        <f>(1-'Sticky Wild'!$B$25)*'Sticky Wild'!$C$25*(1-'Sticky Wild'!$D$25)*1*(1-'Sticky Wild'!$F$25)</f>
        <v>3.4722222222222224E-4</v>
      </c>
      <c r="E27" s="9">
        <f>(1-'Sticky Wild'!$B$25)*'Sticky Wild'!$C$25*(1-'Sticky Wild'!$D$25)*1*1</f>
        <v>4.1666666666666649E-3</v>
      </c>
      <c r="F27" s="9">
        <f>(1-'Sticky Wild'!$B$25)*'Sticky Wild'!$C$25*1*(1-'Sticky Wild'!$E$25)*(1-'Sticky Wild'!$F$25)</f>
        <v>3.7393162393162385E-4</v>
      </c>
      <c r="G27" s="9">
        <f>(1-'Sticky Wild'!$B$25)*'Sticky Wild'!$C$25*1*(1-'Sticky Wild'!$E$25)*1</f>
        <v>4.4871794871794842E-3</v>
      </c>
      <c r="H27" s="9">
        <f>(1-'Sticky Wild'!$B$25)*'Sticky Wild'!$C$25*1*1*(1-'Sticky Wild'!$F$25)</f>
        <v>4.8611111111111129E-3</v>
      </c>
      <c r="I27" s="9">
        <f>(1-'Sticky Wild'!$B$25)*'Sticky Wild'!$C$25*1*1*1</f>
        <v>5.8333333333333334E-2</v>
      </c>
      <c r="J27" s="9">
        <f>(1-'Sticky Wild'!$B$25)*0*(1-'Sticky Wild'!$D$25)*(1-'Sticky Wild'!$E$25)*(1-'Sticky Wild'!$F$25)</f>
        <v>0</v>
      </c>
      <c r="K27" s="9">
        <f>(1-'Sticky Wild'!$B$25)*0*(1-'Sticky Wild'!$D$25)*(1-'Sticky Wild'!$E$25)*1</f>
        <v>0</v>
      </c>
      <c r="L27" s="9">
        <f>(1-'Sticky Wild'!$B$25)*0*(1-'Sticky Wild'!$D$25)*1*(1-'Sticky Wild'!$F$25)</f>
        <v>0</v>
      </c>
      <c r="M27" s="9">
        <f>(1-'Sticky Wild'!$B$25)*0*(1-'Sticky Wild'!$D$25)*1*1</f>
        <v>0</v>
      </c>
      <c r="N27" s="9">
        <f>(1-'Sticky Wild'!$B$25)*0*1*(1-'Sticky Wild'!$E$25)*(1-'Sticky Wild'!$F$25)</f>
        <v>0</v>
      </c>
      <c r="O27" s="9">
        <f>(1-'Sticky Wild'!$B$25)*0*1*(1-'Sticky Wild'!$E$25)*1</f>
        <v>0</v>
      </c>
      <c r="P27" s="9">
        <f>(1-'Sticky Wild'!$B$25)*0*1*1*(1-'Sticky Wild'!$F$25)</f>
        <v>0</v>
      </c>
      <c r="Q27" s="9">
        <f>(1-'Sticky Wild'!$B$25)*0*1*1*1</f>
        <v>0</v>
      </c>
      <c r="R27" s="9">
        <f>1*'Sticky Wild'!$C$25*(1-'Sticky Wild'!$D$25)*(1-'Sticky Wild'!$E$25)*(1-'Sticky Wild'!$F$25)</f>
        <v>4.2735042735042713E-4</v>
      </c>
      <c r="S27" s="9">
        <f>1*'Sticky Wild'!$C$25*(1-'Sticky Wild'!$D$25)*(1-'Sticky Wild'!$E$25)*1</f>
        <v>5.128205128205123E-3</v>
      </c>
      <c r="T27" s="9">
        <f>1*'Sticky Wild'!$C$25*(1-'Sticky Wild'!$D$25)*1*(1-'Sticky Wild'!$F$25)</f>
        <v>5.5555555555555558E-3</v>
      </c>
      <c r="U27" s="9">
        <f>1*'Sticky Wild'!$C$25*(1-'Sticky Wild'!$D$25)*1*1</f>
        <v>6.6666666666666638E-2</v>
      </c>
      <c r="V27" s="9">
        <f>1*'Sticky Wild'!$C$25*1*(1-'Sticky Wild'!$E$25)*(1-'Sticky Wild'!$F$25)</f>
        <v>5.9829059829059816E-3</v>
      </c>
      <c r="W27" s="9">
        <f>1*'Sticky Wild'!$C$25*1*(1-'Sticky Wild'!$E$25)*1</f>
        <v>7.1794871794871748E-2</v>
      </c>
      <c r="X27" s="9">
        <f>1*'Sticky Wild'!$C$25*1*1*(1-'Sticky Wild'!$F$25)</f>
        <v>7.7777777777777807E-2</v>
      </c>
      <c r="Y27" s="9">
        <f>1*'Sticky Wild'!$C$25*1*1*1</f>
        <v>0.93333333333333335</v>
      </c>
      <c r="Z27" s="9">
        <f>1*0*(1-'Sticky Wild'!$D$25)*(1-'Sticky Wild'!$E$25)*(1-'Sticky Wild'!$F$25)</f>
        <v>0</v>
      </c>
      <c r="AA27" s="9">
        <f>1*0*(1-'Sticky Wild'!$D$25)*(1-'Sticky Wild'!$E$25)*1</f>
        <v>0</v>
      </c>
      <c r="AB27" s="9">
        <f>1*0*(1-'Sticky Wild'!$D$25)*1*(1-'Sticky Wild'!$F$25)</f>
        <v>0</v>
      </c>
      <c r="AC27" s="9">
        <f>1*0*(1-'Sticky Wild'!$D$25)*1*1</f>
        <v>0</v>
      </c>
      <c r="AD27" s="9">
        <f>1*0*1*(1-'Sticky Wild'!$E$25)*(1-'Sticky Wild'!$F$25)</f>
        <v>0</v>
      </c>
      <c r="AE27" s="9">
        <f>1*0*1*(1-'Sticky Wild'!$E$25)*1</f>
        <v>0</v>
      </c>
      <c r="AF27" s="9">
        <f>1*0*1*1*(1-'Sticky Wild'!$F$25)</f>
        <v>0</v>
      </c>
      <c r="AG27" s="9">
        <f>1*0*1*1*1</f>
        <v>0</v>
      </c>
    </row>
    <row r="28" spans="1:33" ht="15" customHeight="1">
      <c r="A28" s="2" t="str">
        <f>DEC2BIN(24,5)</f>
        <v>11000</v>
      </c>
      <c r="B28" s="9">
        <f>(1-'Sticky Wild'!$B$25)*(1-'Sticky Wild'!$C$25)*'Sticky Wild'!$D$25*'Sticky Wild'!$E$25*'Sticky Wild'!$F$25</f>
        <v>3.273809523809523E-3</v>
      </c>
      <c r="C28" s="9">
        <f>(1-'Sticky Wild'!$B$25)*(1-'Sticky Wild'!$C$25)*'Sticky Wild'!$D$25*'Sticky Wild'!$E$25*0</f>
        <v>0</v>
      </c>
      <c r="D28" s="9">
        <f>(1-'Sticky Wild'!$B$25)*(1-'Sticky Wild'!$C$25)*'Sticky Wild'!$D$25*0*'Sticky Wild'!$F$25</f>
        <v>0</v>
      </c>
      <c r="E28" s="9">
        <f>(1-'Sticky Wild'!$B$25)*(1-'Sticky Wild'!$C$25)*'Sticky Wild'!$D$25*0*0</f>
        <v>0</v>
      </c>
      <c r="F28" s="9">
        <f>(1-'Sticky Wild'!$B$25)*(1-'Sticky Wild'!$C$25)*0*'Sticky Wild'!$E$25*'Sticky Wild'!$F$25</f>
        <v>0</v>
      </c>
      <c r="G28" s="9">
        <f>(1-'Sticky Wild'!$B$25)*(1-'Sticky Wild'!$C$25)*0*'Sticky Wild'!$E$25*0</f>
        <v>0</v>
      </c>
      <c r="H28" s="9">
        <f>(1-'Sticky Wild'!$B$25)*(1-'Sticky Wild'!$C$25)*0*0*'Sticky Wild'!$F$25</f>
        <v>0</v>
      </c>
      <c r="I28" s="9">
        <f>(1-'Sticky Wild'!$B$25)*(1-'Sticky Wild'!$C$25)*0*0*0</f>
        <v>0</v>
      </c>
      <c r="J28" s="9">
        <f>(1-'Sticky Wild'!$B$25)*1*'Sticky Wild'!$D$25*'Sticky Wild'!$E$25*'Sticky Wild'!$F$25</f>
        <v>4.9107142857142856E-2</v>
      </c>
      <c r="K28" s="9">
        <f>(1-'Sticky Wild'!$B$25)*1*'Sticky Wild'!$D$25*'Sticky Wild'!$E$25*0</f>
        <v>0</v>
      </c>
      <c r="L28" s="9">
        <f>(1-'Sticky Wild'!$B$25)*1*'Sticky Wild'!$D$25*0*'Sticky Wild'!$F$25</f>
        <v>0</v>
      </c>
      <c r="M28" s="9">
        <f>(1-'Sticky Wild'!$B$25)*1*'Sticky Wild'!$D$25*0*0</f>
        <v>0</v>
      </c>
      <c r="N28" s="9">
        <f>(1-'Sticky Wild'!$B$25)*1*0*'Sticky Wild'!$E$25*'Sticky Wild'!$F$25</f>
        <v>0</v>
      </c>
      <c r="O28" s="9">
        <f>(1-'Sticky Wild'!$B$25)*1*0*'Sticky Wild'!$E$25*0</f>
        <v>0</v>
      </c>
      <c r="P28" s="9">
        <f>(1-'Sticky Wild'!$B$25)*1*0*0*'Sticky Wild'!$F$25</f>
        <v>0</v>
      </c>
      <c r="Q28" s="9">
        <f>(1-'Sticky Wild'!$B$25)*1*0*0*0</f>
        <v>0</v>
      </c>
      <c r="R28" s="9">
        <f>1*(1-'Sticky Wild'!$C$25)*'Sticky Wild'!$D$25*'Sticky Wild'!$E$25*'Sticky Wild'!$F$25</f>
        <v>5.2380952380952368E-2</v>
      </c>
      <c r="S28" s="9">
        <f>1*(1-'Sticky Wild'!$C$25)*'Sticky Wild'!$D$25*'Sticky Wild'!$E$25*0</f>
        <v>0</v>
      </c>
      <c r="T28" s="9">
        <f>1*(1-'Sticky Wild'!$C$25)*'Sticky Wild'!$D$25*0*'Sticky Wild'!$F$25</f>
        <v>0</v>
      </c>
      <c r="U28" s="9">
        <f>1*(1-'Sticky Wild'!$C$25)*'Sticky Wild'!$D$25*0*0</f>
        <v>0</v>
      </c>
      <c r="V28" s="9">
        <f>1*(1-'Sticky Wild'!$C$25)*0*'Sticky Wild'!$E$25*'Sticky Wild'!$F$25</f>
        <v>0</v>
      </c>
      <c r="W28" s="9">
        <f>1*(1-'Sticky Wild'!$C$25)*0*'Sticky Wild'!$E$25*0</f>
        <v>0</v>
      </c>
      <c r="X28" s="9">
        <f>1*(1-'Sticky Wild'!$C$25)*0*0*'Sticky Wild'!$F$25</f>
        <v>0</v>
      </c>
      <c r="Y28" s="9">
        <f>1*(1-'Sticky Wild'!$C$25)*0*0*0</f>
        <v>0</v>
      </c>
      <c r="Z28" s="9">
        <f>1*1*'Sticky Wild'!$D$25*'Sticky Wild'!$E$25*'Sticky Wild'!$F$25</f>
        <v>0.7857142857142857</v>
      </c>
      <c r="AA28" s="9">
        <f>1*1*'Sticky Wild'!$D$25*'Sticky Wild'!$E$25*0</f>
        <v>0</v>
      </c>
      <c r="AB28" s="9">
        <f>1*1*'Sticky Wild'!$D$25*0*'Sticky Wild'!$F$25</f>
        <v>0</v>
      </c>
      <c r="AC28" s="9">
        <f>1*1*'Sticky Wild'!$D$25*0*0</f>
        <v>0</v>
      </c>
      <c r="AD28" s="9">
        <f>1*1*0*'Sticky Wild'!$E$25*'Sticky Wild'!$F$25</f>
        <v>0</v>
      </c>
      <c r="AE28" s="9">
        <f>1*1*0*'Sticky Wild'!$E$25*0</f>
        <v>0</v>
      </c>
      <c r="AF28" s="9">
        <f>1*1*0*0*'Sticky Wild'!$F$25</f>
        <v>0</v>
      </c>
      <c r="AG28" s="9">
        <f>1*1*0*0*0</f>
        <v>0</v>
      </c>
    </row>
    <row r="29" spans="1:33" ht="15" customHeight="1">
      <c r="A29" s="2" t="str">
        <f>DEC2BIN(25,5)</f>
        <v>11001</v>
      </c>
      <c r="B29" s="9">
        <f>(1-'Sticky Wild'!$B$25)*(1-'Sticky Wild'!$C$25)*'Sticky Wild'!$D$25*'Sticky Wild'!$E$25*(1-'Sticky Wild'!$F$25)</f>
        <v>2.976190476190477E-4</v>
      </c>
      <c r="C29" s="9">
        <f>(1-'Sticky Wild'!$B$25)*(1-'Sticky Wild'!$C$25)*'Sticky Wild'!$D$25*'Sticky Wild'!$E$25*1</f>
        <v>3.5714285714285709E-3</v>
      </c>
      <c r="D29" s="9">
        <f>(1-'Sticky Wild'!$B$25)*(1-'Sticky Wild'!$C$25)*'Sticky Wild'!$D$25*0*(1-'Sticky Wild'!$F$25)</f>
        <v>0</v>
      </c>
      <c r="E29" s="9">
        <f>(1-'Sticky Wild'!$B$25)*(1-'Sticky Wild'!$C$25)*'Sticky Wild'!$D$25*0*1</f>
        <v>0</v>
      </c>
      <c r="F29" s="9">
        <f>(1-'Sticky Wild'!$B$25)*(1-'Sticky Wild'!$C$25)*0*'Sticky Wild'!$E$25*(1-'Sticky Wild'!$F$25)</f>
        <v>0</v>
      </c>
      <c r="G29" s="9">
        <f>(1-'Sticky Wild'!$B$25)*(1-'Sticky Wild'!$C$25)*0*'Sticky Wild'!$E$25*1</f>
        <v>0</v>
      </c>
      <c r="H29" s="9">
        <f>(1-'Sticky Wild'!$B$25)*(1-'Sticky Wild'!$C$25)*0*0*(1-'Sticky Wild'!$F$25)</f>
        <v>0</v>
      </c>
      <c r="I29" s="9">
        <f>(1-'Sticky Wild'!$B$25)*(1-'Sticky Wild'!$C$25)*0*0*1</f>
        <v>0</v>
      </c>
      <c r="J29" s="9">
        <f>(1-'Sticky Wild'!$B$25)*1*'Sticky Wild'!$D$25*'Sticky Wild'!$E$25*(1-'Sticky Wild'!$F$25)</f>
        <v>4.4642857142857166E-3</v>
      </c>
      <c r="K29" s="9">
        <f>(1-'Sticky Wild'!$B$25)*1*'Sticky Wild'!$D$25*'Sticky Wild'!$E$25*1</f>
        <v>5.3571428571428575E-2</v>
      </c>
      <c r="L29" s="9">
        <f>(1-'Sticky Wild'!$B$25)*1*'Sticky Wild'!$D$25*0*(1-'Sticky Wild'!$F$25)</f>
        <v>0</v>
      </c>
      <c r="M29" s="9">
        <f>(1-'Sticky Wild'!$B$25)*1*'Sticky Wild'!$D$25*0*1</f>
        <v>0</v>
      </c>
      <c r="N29" s="9">
        <f>(1-'Sticky Wild'!$B$25)*1*0*'Sticky Wild'!$E$25*(1-'Sticky Wild'!$F$25)</f>
        <v>0</v>
      </c>
      <c r="O29" s="9">
        <f>(1-'Sticky Wild'!$B$25)*1*0*'Sticky Wild'!$E$25*1</f>
        <v>0</v>
      </c>
      <c r="P29" s="9">
        <f>(1-'Sticky Wild'!$B$25)*1*0*0*(1-'Sticky Wild'!$F$25)</f>
        <v>0</v>
      </c>
      <c r="Q29" s="9">
        <f>(1-'Sticky Wild'!$B$25)*1*0*0*1</f>
        <v>0</v>
      </c>
      <c r="R29" s="9">
        <f>1*(1-'Sticky Wild'!$C$25)*'Sticky Wild'!$D$25*'Sticky Wild'!$E$25*(1-'Sticky Wild'!$F$25)</f>
        <v>4.7619047619047632E-3</v>
      </c>
      <c r="S29" s="9">
        <f>1*(1-'Sticky Wild'!$C$25)*'Sticky Wild'!$D$25*'Sticky Wild'!$E$25*1</f>
        <v>5.7142857142857134E-2</v>
      </c>
      <c r="T29" s="9">
        <f>1*(1-'Sticky Wild'!$C$25)*'Sticky Wild'!$D$25*0*(1-'Sticky Wild'!$F$25)</f>
        <v>0</v>
      </c>
      <c r="U29" s="9">
        <f>1*(1-'Sticky Wild'!$C$25)*'Sticky Wild'!$D$25*0*1</f>
        <v>0</v>
      </c>
      <c r="V29" s="9">
        <f>1*(1-'Sticky Wild'!$C$25)*0*'Sticky Wild'!$E$25*(1-'Sticky Wild'!$F$25)</f>
        <v>0</v>
      </c>
      <c r="W29" s="9">
        <f>1*(1-'Sticky Wild'!$C$25)*0*'Sticky Wild'!$E$25*1</f>
        <v>0</v>
      </c>
      <c r="X29" s="9">
        <f>1*(1-'Sticky Wild'!$C$25)*0*0*(1-'Sticky Wild'!$F$25)</f>
        <v>0</v>
      </c>
      <c r="Y29" s="9">
        <f>1*(1-'Sticky Wild'!$C$25)*0*0*1</f>
        <v>0</v>
      </c>
      <c r="Z29" s="9">
        <f>1*1*'Sticky Wild'!$D$25*'Sticky Wild'!$E$25*(1-'Sticky Wild'!$F$25)</f>
        <v>7.1428571428571466E-2</v>
      </c>
      <c r="AA29" s="9">
        <f>1*1*'Sticky Wild'!$D$25*'Sticky Wild'!$E$25*1</f>
        <v>0.85714285714285721</v>
      </c>
      <c r="AB29" s="9">
        <f>1*1*'Sticky Wild'!$D$25*0*(1-'Sticky Wild'!$F$25)</f>
        <v>0</v>
      </c>
      <c r="AC29" s="9">
        <f>1*1*'Sticky Wild'!$D$25*0*1</f>
        <v>0</v>
      </c>
      <c r="AD29" s="9">
        <f>1*1*0*'Sticky Wild'!$E$25*(1-'Sticky Wild'!$F$25)</f>
        <v>0</v>
      </c>
      <c r="AE29" s="9">
        <f>1*1*0*'Sticky Wild'!$E$25*1</f>
        <v>0</v>
      </c>
      <c r="AF29" s="9">
        <f>1*1*0*0*(1-'Sticky Wild'!$F$25)</f>
        <v>0</v>
      </c>
      <c r="AG29" s="9">
        <f>1*1*0*0*1</f>
        <v>0</v>
      </c>
    </row>
    <row r="30" spans="1:33" ht="15" customHeight="1">
      <c r="A30" s="2" t="str">
        <f>DEC2BIN(26,5)</f>
        <v>11010</v>
      </c>
      <c r="B30" s="9">
        <f>(1-'Sticky Wild'!$B$25)*(1-'Sticky Wild'!$C$25)*'Sticky Wild'!$D$25*(1-'Sticky Wild'!$E$25)*'Sticky Wild'!$F$25</f>
        <v>2.7281746031746011E-4</v>
      </c>
      <c r="C30" s="9">
        <f>(1-'Sticky Wild'!$B$25)*(1-'Sticky Wild'!$C$25)*'Sticky Wild'!$D$25*(1-'Sticky Wild'!$E$25)*0</f>
        <v>0</v>
      </c>
      <c r="D30" s="9">
        <f>(1-'Sticky Wild'!$B$25)*(1-'Sticky Wild'!$C$25)*'Sticky Wild'!$D$25*1*'Sticky Wild'!$F$25</f>
        <v>3.5466269841269832E-3</v>
      </c>
      <c r="E30" s="9">
        <f>(1-'Sticky Wild'!$B$25)*(1-'Sticky Wild'!$C$25)*'Sticky Wild'!$D$25*1*0</f>
        <v>0</v>
      </c>
      <c r="F30" s="9">
        <f>(1-'Sticky Wild'!$B$25)*(1-'Sticky Wild'!$C$25)*0*(1-'Sticky Wild'!$E$25)*'Sticky Wild'!$F$25</f>
        <v>0</v>
      </c>
      <c r="G30" s="9">
        <f>(1-'Sticky Wild'!$B$25)*(1-'Sticky Wild'!$C$25)*0*(1-'Sticky Wild'!$E$25)*0</f>
        <v>0</v>
      </c>
      <c r="H30" s="9">
        <f>(1-'Sticky Wild'!$B$25)*(1-'Sticky Wild'!$C$25)*0*1*'Sticky Wild'!$F$25</f>
        <v>0</v>
      </c>
      <c r="I30" s="9">
        <f>(1-'Sticky Wild'!$B$25)*(1-'Sticky Wild'!$C$25)*0*1*0</f>
        <v>0</v>
      </c>
      <c r="J30" s="9">
        <f>(1-'Sticky Wild'!$B$25)*1*'Sticky Wild'!$D$25*(1-'Sticky Wild'!$E$25)*'Sticky Wild'!$F$25</f>
        <v>4.0922619047619024E-3</v>
      </c>
      <c r="K30" s="9">
        <f>(1-'Sticky Wild'!$B$25)*1*'Sticky Wild'!$D$25*(1-'Sticky Wild'!$E$25)*0</f>
        <v>0</v>
      </c>
      <c r="L30" s="9">
        <f>(1-'Sticky Wild'!$B$25)*1*'Sticky Wild'!$D$25*1*'Sticky Wild'!$F$25</f>
        <v>5.319940476190476E-2</v>
      </c>
      <c r="M30" s="9">
        <f>(1-'Sticky Wild'!$B$25)*1*'Sticky Wild'!$D$25*1*0</f>
        <v>0</v>
      </c>
      <c r="N30" s="9">
        <f>(1-'Sticky Wild'!$B$25)*1*0*(1-'Sticky Wild'!$E$25)*'Sticky Wild'!$F$25</f>
        <v>0</v>
      </c>
      <c r="O30" s="9">
        <f>(1-'Sticky Wild'!$B$25)*1*0*(1-'Sticky Wild'!$E$25)*0</f>
        <v>0</v>
      </c>
      <c r="P30" s="9">
        <f>(1-'Sticky Wild'!$B$25)*1*0*1*'Sticky Wild'!$F$25</f>
        <v>0</v>
      </c>
      <c r="Q30" s="9">
        <f>(1-'Sticky Wild'!$B$25)*1*0*1*0</f>
        <v>0</v>
      </c>
      <c r="R30" s="9">
        <f>1*(1-'Sticky Wild'!$C$25)*'Sticky Wild'!$D$25*(1-'Sticky Wild'!$E$25)*'Sticky Wild'!$F$25</f>
        <v>4.3650793650793617E-3</v>
      </c>
      <c r="S30" s="9">
        <f>1*(1-'Sticky Wild'!$C$25)*'Sticky Wild'!$D$25*(1-'Sticky Wild'!$E$25)*0</f>
        <v>0</v>
      </c>
      <c r="T30" s="9">
        <f>1*(1-'Sticky Wild'!$C$25)*'Sticky Wild'!$D$25*1*'Sticky Wild'!$F$25</f>
        <v>5.6746031746031732E-2</v>
      </c>
      <c r="U30" s="9">
        <f>1*(1-'Sticky Wild'!$C$25)*'Sticky Wild'!$D$25*1*0</f>
        <v>0</v>
      </c>
      <c r="V30" s="9">
        <f>1*(1-'Sticky Wild'!$C$25)*0*(1-'Sticky Wild'!$E$25)*'Sticky Wild'!$F$25</f>
        <v>0</v>
      </c>
      <c r="W30" s="9">
        <f>1*(1-'Sticky Wild'!$C$25)*0*(1-'Sticky Wild'!$E$25)*0</f>
        <v>0</v>
      </c>
      <c r="X30" s="9">
        <f>1*(1-'Sticky Wild'!$C$25)*0*1*'Sticky Wild'!$F$25</f>
        <v>0</v>
      </c>
      <c r="Y30" s="9">
        <f>1*(1-'Sticky Wild'!$C$25)*0*1*0</f>
        <v>0</v>
      </c>
      <c r="Z30" s="9">
        <f>1*1*'Sticky Wild'!$D$25*(1-'Sticky Wild'!$E$25)*'Sticky Wild'!$F$25</f>
        <v>6.5476190476190438E-2</v>
      </c>
      <c r="AA30" s="9">
        <f>1*1*'Sticky Wild'!$D$25*(1-'Sticky Wild'!$E$25)*0</f>
        <v>0</v>
      </c>
      <c r="AB30" s="9">
        <f>1*1*'Sticky Wild'!$D$25*1*'Sticky Wild'!$F$25</f>
        <v>0.85119047619047616</v>
      </c>
      <c r="AC30" s="9">
        <f>1*1*'Sticky Wild'!$D$25*1*0</f>
        <v>0</v>
      </c>
      <c r="AD30" s="9">
        <f>1*1*0*(1-'Sticky Wild'!$E$25)*'Sticky Wild'!$F$25</f>
        <v>0</v>
      </c>
      <c r="AE30" s="9">
        <f>1*1*0*(1-'Sticky Wild'!$E$25)*0</f>
        <v>0</v>
      </c>
      <c r="AF30" s="9">
        <f>1*1*0*1*'Sticky Wild'!$F$25</f>
        <v>0</v>
      </c>
      <c r="AG30" s="9">
        <f>1*1*0*1*0</f>
        <v>0</v>
      </c>
    </row>
    <row r="31" spans="1:33" ht="15" customHeight="1">
      <c r="A31" s="2" t="str">
        <f>DEC2BIN(27,5)</f>
        <v>11011</v>
      </c>
      <c r="B31" s="9">
        <f>(1-'Sticky Wild'!$B$25)*(1-'Sticky Wild'!$C$25)*'Sticky Wild'!$D$25*(1-'Sticky Wild'!$E$25)*(1-'Sticky Wild'!$F$25)</f>
        <v>2.4801587301587291E-5</v>
      </c>
      <c r="C31" s="9">
        <f>(1-'Sticky Wild'!$B$25)*(1-'Sticky Wild'!$C$25)*'Sticky Wild'!$D$25*(1-'Sticky Wild'!$E$25)*1</f>
        <v>2.9761904761904737E-4</v>
      </c>
      <c r="D31" s="9">
        <f>(1-'Sticky Wild'!$B$25)*(1-'Sticky Wild'!$C$25)*'Sticky Wild'!$D$25*1*(1-'Sticky Wild'!$F$25)</f>
        <v>3.2242063492063502E-4</v>
      </c>
      <c r="E31" s="9">
        <f>(1-'Sticky Wild'!$B$25)*(1-'Sticky Wild'!$C$25)*'Sticky Wild'!$D$25*1*1</f>
        <v>3.8690476190476183E-3</v>
      </c>
      <c r="F31" s="9">
        <f>(1-'Sticky Wild'!$B$25)*(1-'Sticky Wild'!$C$25)*0*(1-'Sticky Wild'!$E$25)*(1-'Sticky Wild'!$F$25)</f>
        <v>0</v>
      </c>
      <c r="G31" s="9">
        <f>(1-'Sticky Wild'!$B$25)*(1-'Sticky Wild'!$C$25)*0*(1-'Sticky Wild'!$E$25)*1</f>
        <v>0</v>
      </c>
      <c r="H31" s="9">
        <f>(1-'Sticky Wild'!$B$25)*(1-'Sticky Wild'!$C$25)*0*1*(1-'Sticky Wild'!$F$25)</f>
        <v>0</v>
      </c>
      <c r="I31" s="9">
        <f>(1-'Sticky Wild'!$B$25)*(1-'Sticky Wild'!$C$25)*0*1*1</f>
        <v>0</v>
      </c>
      <c r="J31" s="9">
        <f>(1-'Sticky Wild'!$B$25)*1*'Sticky Wild'!$D$25*(1-'Sticky Wild'!$E$25)*(1-'Sticky Wild'!$F$25)</f>
        <v>3.7202380952380945E-4</v>
      </c>
      <c r="K31" s="9">
        <f>(1-'Sticky Wild'!$B$25)*1*'Sticky Wild'!$D$25*(1-'Sticky Wild'!$E$25)*1</f>
        <v>4.4642857142857114E-3</v>
      </c>
      <c r="L31" s="9">
        <f>(1-'Sticky Wild'!$B$25)*1*'Sticky Wild'!$D$25*1*(1-'Sticky Wild'!$F$25)</f>
        <v>4.8363095238095257E-3</v>
      </c>
      <c r="M31" s="9">
        <f>(1-'Sticky Wild'!$B$25)*1*'Sticky Wild'!$D$25*1*1</f>
        <v>5.8035714285714288E-2</v>
      </c>
      <c r="N31" s="9">
        <f>(1-'Sticky Wild'!$B$25)*1*0*(1-'Sticky Wild'!$E$25)*(1-'Sticky Wild'!$F$25)</f>
        <v>0</v>
      </c>
      <c r="O31" s="9">
        <f>(1-'Sticky Wild'!$B$25)*1*0*(1-'Sticky Wild'!$E$25)*1</f>
        <v>0</v>
      </c>
      <c r="P31" s="9">
        <f>(1-'Sticky Wild'!$B$25)*1*0*1*(1-'Sticky Wild'!$F$25)</f>
        <v>0</v>
      </c>
      <c r="Q31" s="9">
        <f>(1-'Sticky Wild'!$B$25)*1*0*1*1</f>
        <v>0</v>
      </c>
      <c r="R31" s="9">
        <f>1*(1-'Sticky Wild'!$C$25)*'Sticky Wild'!$D$25*(1-'Sticky Wild'!$E$25)*(1-'Sticky Wild'!$F$25)</f>
        <v>3.9682539682539666E-4</v>
      </c>
      <c r="S31" s="9">
        <f>1*(1-'Sticky Wild'!$C$25)*'Sticky Wild'!$D$25*(1-'Sticky Wild'!$E$25)*1</f>
        <v>4.761904761904758E-3</v>
      </c>
      <c r="T31" s="9">
        <f>1*(1-'Sticky Wild'!$C$25)*'Sticky Wild'!$D$25*1*(1-'Sticky Wild'!$F$25)</f>
        <v>5.1587301587301604E-3</v>
      </c>
      <c r="U31" s="9">
        <f>1*(1-'Sticky Wild'!$C$25)*'Sticky Wild'!$D$25*1*1</f>
        <v>6.1904761904761893E-2</v>
      </c>
      <c r="V31" s="9">
        <f>1*(1-'Sticky Wild'!$C$25)*0*(1-'Sticky Wild'!$E$25)*(1-'Sticky Wild'!$F$25)</f>
        <v>0</v>
      </c>
      <c r="W31" s="9">
        <f>1*(1-'Sticky Wild'!$C$25)*0*(1-'Sticky Wild'!$E$25)*1</f>
        <v>0</v>
      </c>
      <c r="X31" s="9">
        <f>1*(1-'Sticky Wild'!$C$25)*0*1*(1-'Sticky Wild'!$F$25)</f>
        <v>0</v>
      </c>
      <c r="Y31" s="9">
        <f>1*(1-'Sticky Wild'!$C$25)*0*1*1</f>
        <v>0</v>
      </c>
      <c r="Z31" s="9">
        <f>1*1*'Sticky Wild'!$D$25*(1-'Sticky Wild'!$E$25)*(1-'Sticky Wild'!$F$25)</f>
        <v>5.9523809523809512E-3</v>
      </c>
      <c r="AA31" s="9">
        <f>1*1*'Sticky Wild'!$D$25*(1-'Sticky Wild'!$E$25)*1</f>
        <v>7.1428571428571383E-2</v>
      </c>
      <c r="AB31" s="9">
        <f>1*1*'Sticky Wild'!$D$25*1*(1-'Sticky Wild'!$F$25)</f>
        <v>7.7380952380952411E-2</v>
      </c>
      <c r="AC31" s="9">
        <f>1*1*'Sticky Wild'!$D$25*1*1</f>
        <v>0.9285714285714286</v>
      </c>
      <c r="AD31" s="9">
        <f>1*1*0*(1-'Sticky Wild'!$E$25)*(1-'Sticky Wild'!$F$25)</f>
        <v>0</v>
      </c>
      <c r="AE31" s="9">
        <f>1*1*0*(1-'Sticky Wild'!$E$25)*1</f>
        <v>0</v>
      </c>
      <c r="AF31" s="9">
        <f>1*1*0*1*(1-'Sticky Wild'!$F$25)</f>
        <v>0</v>
      </c>
      <c r="AG31" s="9">
        <f>1*1*0*1*1</f>
        <v>0</v>
      </c>
    </row>
    <row r="32" spans="1:33" ht="15" customHeight="1">
      <c r="A32" s="2" t="str">
        <f>DEC2BIN(28,5)</f>
        <v>11100</v>
      </c>
      <c r="B32" s="9">
        <f>(1-'Sticky Wild'!$B$25)*(1-'Sticky Wild'!$C$25)*(1-'Sticky Wild'!$D$25)*'Sticky Wild'!$E$25*'Sticky Wild'!$F$25</f>
        <v>2.518315018315017E-4</v>
      </c>
      <c r="C32" s="9">
        <f>(1-'Sticky Wild'!$B$25)*(1-'Sticky Wild'!$C$25)*(1-'Sticky Wild'!$D$25)*'Sticky Wild'!$E$25*0</f>
        <v>0</v>
      </c>
      <c r="D32" s="9">
        <f>(1-'Sticky Wild'!$B$25)*(1-'Sticky Wild'!$C$25)*(1-'Sticky Wild'!$D$25)*0*'Sticky Wild'!$F$25</f>
        <v>0</v>
      </c>
      <c r="E32" s="9">
        <f>(1-'Sticky Wild'!$B$25)*(1-'Sticky Wild'!$C$25)*(1-'Sticky Wild'!$D$25)*0*0</f>
        <v>0</v>
      </c>
      <c r="F32" s="9">
        <f>(1-'Sticky Wild'!$B$25)*(1-'Sticky Wild'!$C$25)*1*'Sticky Wild'!$E$25*'Sticky Wild'!$F$25</f>
        <v>3.5256410256410248E-3</v>
      </c>
      <c r="G32" s="9">
        <f>(1-'Sticky Wild'!$B$25)*(1-'Sticky Wild'!$C$25)*1*'Sticky Wild'!$E$25*0</f>
        <v>0</v>
      </c>
      <c r="H32" s="9">
        <f>(1-'Sticky Wild'!$B$25)*(1-'Sticky Wild'!$C$25)*1*0*'Sticky Wild'!$F$25</f>
        <v>0</v>
      </c>
      <c r="I32" s="9">
        <f>(1-'Sticky Wild'!$B$25)*(1-'Sticky Wild'!$C$25)*1*0*0</f>
        <v>0</v>
      </c>
      <c r="J32" s="9">
        <f>(1-'Sticky Wild'!$B$25)*1*(1-'Sticky Wild'!$D$25)*'Sticky Wild'!$E$25*'Sticky Wild'!$F$25</f>
        <v>3.7774725274725258E-3</v>
      </c>
      <c r="K32" s="9">
        <f>(1-'Sticky Wild'!$B$25)*1*(1-'Sticky Wild'!$D$25)*'Sticky Wild'!$E$25*0</f>
        <v>0</v>
      </c>
      <c r="L32" s="9">
        <f>(1-'Sticky Wild'!$B$25)*1*(1-'Sticky Wild'!$D$25)*0*'Sticky Wild'!$F$25</f>
        <v>0</v>
      </c>
      <c r="M32" s="9">
        <f>(1-'Sticky Wild'!$B$25)*1*(1-'Sticky Wild'!$D$25)*0*0</f>
        <v>0</v>
      </c>
      <c r="N32" s="9">
        <f>(1-'Sticky Wild'!$B$25)*1*1*'Sticky Wild'!$E$25*'Sticky Wild'!$F$25</f>
        <v>5.2884615384615384E-2</v>
      </c>
      <c r="O32" s="9">
        <f>(1-'Sticky Wild'!$B$25)*1*1*'Sticky Wild'!$E$25*0</f>
        <v>0</v>
      </c>
      <c r="P32" s="9">
        <f>(1-'Sticky Wild'!$B$25)*1*1*0*'Sticky Wild'!$F$25</f>
        <v>0</v>
      </c>
      <c r="Q32" s="9">
        <f>(1-'Sticky Wild'!$B$25)*1*1*0*0</f>
        <v>0</v>
      </c>
      <c r="R32" s="9">
        <f>1*(1-'Sticky Wild'!$C$25)*(1-'Sticky Wild'!$D$25)*'Sticky Wild'!$E$25*'Sticky Wild'!$F$25</f>
        <v>4.0293040293040271E-3</v>
      </c>
      <c r="S32" s="9">
        <f>1*(1-'Sticky Wild'!$C$25)*(1-'Sticky Wild'!$D$25)*'Sticky Wild'!$E$25*0</f>
        <v>0</v>
      </c>
      <c r="T32" s="9">
        <f>1*(1-'Sticky Wild'!$C$25)*(1-'Sticky Wild'!$D$25)*0*'Sticky Wild'!$F$25</f>
        <v>0</v>
      </c>
      <c r="U32" s="9">
        <f>1*(1-'Sticky Wild'!$C$25)*(1-'Sticky Wild'!$D$25)*0*0</f>
        <v>0</v>
      </c>
      <c r="V32" s="9">
        <f>1*(1-'Sticky Wild'!$C$25)*1*'Sticky Wild'!$E$25*'Sticky Wild'!$F$25</f>
        <v>5.6410256410256397E-2</v>
      </c>
      <c r="W32" s="9">
        <f>1*(1-'Sticky Wild'!$C$25)*1*'Sticky Wild'!$E$25*0</f>
        <v>0</v>
      </c>
      <c r="X32" s="9">
        <f>1*(1-'Sticky Wild'!$C$25)*1*0*'Sticky Wild'!$F$25</f>
        <v>0</v>
      </c>
      <c r="Y32" s="9">
        <f>1*(1-'Sticky Wild'!$C$25)*1*0*0</f>
        <v>0</v>
      </c>
      <c r="Z32" s="9">
        <f>1*1*(1-'Sticky Wild'!$D$25)*'Sticky Wild'!$E$25*'Sticky Wild'!$F$25</f>
        <v>6.0439560439560412E-2</v>
      </c>
      <c r="AA32" s="9">
        <f>1*1*(1-'Sticky Wild'!$D$25)*'Sticky Wild'!$E$25*0</f>
        <v>0</v>
      </c>
      <c r="AB32" s="9">
        <f>1*1*(1-'Sticky Wild'!$D$25)*0*'Sticky Wild'!$F$25</f>
        <v>0</v>
      </c>
      <c r="AC32" s="9">
        <f>1*1*(1-'Sticky Wild'!$D$25)*0*0</f>
        <v>0</v>
      </c>
      <c r="AD32" s="9">
        <f>1*1*1*'Sticky Wild'!$E$25*'Sticky Wild'!$F$25</f>
        <v>0.84615384615384615</v>
      </c>
      <c r="AE32" s="9">
        <f>1*1*1*'Sticky Wild'!$E$25*0</f>
        <v>0</v>
      </c>
      <c r="AF32" s="9">
        <f>1*1*1*0*'Sticky Wild'!$F$25</f>
        <v>0</v>
      </c>
      <c r="AG32" s="9">
        <f>1*1*1*0*0</f>
        <v>0</v>
      </c>
    </row>
    <row r="33" spans="1:33" ht="15" customHeight="1">
      <c r="A33" s="2" t="str">
        <f>DEC2BIN(29,5)</f>
        <v>11101</v>
      </c>
      <c r="B33" s="9">
        <f>(1-'Sticky Wild'!$B$25)*(1-'Sticky Wild'!$C$25)*(1-'Sticky Wild'!$D$25)*'Sticky Wild'!$E$25*(1-'Sticky Wild'!$F$25)</f>
        <v>2.289377289377289E-5</v>
      </c>
      <c r="C33" s="9">
        <f>(1-'Sticky Wild'!$B$25)*(1-'Sticky Wild'!$C$25)*(1-'Sticky Wild'!$D$25)*'Sticky Wild'!$E$25*1</f>
        <v>2.7472527472527456E-4</v>
      </c>
      <c r="D33" s="9">
        <f>(1-'Sticky Wild'!$B$25)*(1-'Sticky Wild'!$C$25)*(1-'Sticky Wild'!$D$25)*0*(1-'Sticky Wild'!$F$25)</f>
        <v>0</v>
      </c>
      <c r="E33" s="9">
        <f>(1-'Sticky Wild'!$B$25)*(1-'Sticky Wild'!$C$25)*(1-'Sticky Wild'!$D$25)*0*1</f>
        <v>0</v>
      </c>
      <c r="F33" s="9">
        <f>(1-'Sticky Wild'!$B$25)*(1-'Sticky Wild'!$C$25)*1*'Sticky Wild'!$E$25*(1-'Sticky Wild'!$F$25)</f>
        <v>3.2051282051282062E-4</v>
      </c>
      <c r="G33" s="9">
        <f>(1-'Sticky Wild'!$B$25)*(1-'Sticky Wild'!$C$25)*1*'Sticky Wild'!$E$25*1</f>
        <v>3.8461538461538455E-3</v>
      </c>
      <c r="H33" s="9">
        <f>(1-'Sticky Wild'!$B$25)*(1-'Sticky Wild'!$C$25)*1*0*(1-'Sticky Wild'!$F$25)</f>
        <v>0</v>
      </c>
      <c r="I33" s="9">
        <f>(1-'Sticky Wild'!$B$25)*(1-'Sticky Wild'!$C$25)*1*0*1</f>
        <v>0</v>
      </c>
      <c r="J33" s="9">
        <f>(1-'Sticky Wild'!$B$25)*1*(1-'Sticky Wild'!$D$25)*'Sticky Wild'!$E$25*(1-'Sticky Wild'!$F$25)</f>
        <v>3.4340659340659343E-4</v>
      </c>
      <c r="K33" s="9">
        <f>(1-'Sticky Wild'!$B$25)*1*(1-'Sticky Wild'!$D$25)*'Sticky Wild'!$E$25*1</f>
        <v>4.1208791208791192E-3</v>
      </c>
      <c r="L33" s="9">
        <f>(1-'Sticky Wild'!$B$25)*1*(1-'Sticky Wild'!$D$25)*0*(1-'Sticky Wild'!$F$25)</f>
        <v>0</v>
      </c>
      <c r="M33" s="9">
        <f>(1-'Sticky Wild'!$B$25)*1*(1-'Sticky Wild'!$D$25)*0*1</f>
        <v>0</v>
      </c>
      <c r="N33" s="9">
        <f>(1-'Sticky Wild'!$B$25)*1*1*'Sticky Wild'!$E$25*(1-'Sticky Wild'!$F$25)</f>
        <v>4.8076923076923097E-3</v>
      </c>
      <c r="O33" s="9">
        <f>(1-'Sticky Wild'!$B$25)*1*1*'Sticky Wild'!$E$25*1</f>
        <v>5.7692307692307696E-2</v>
      </c>
      <c r="P33" s="9">
        <f>(1-'Sticky Wild'!$B$25)*1*1*0*(1-'Sticky Wild'!$F$25)</f>
        <v>0</v>
      </c>
      <c r="Q33" s="9">
        <f>(1-'Sticky Wild'!$B$25)*1*1*0*1</f>
        <v>0</v>
      </c>
      <c r="R33" s="9">
        <f>1*(1-'Sticky Wild'!$C$25)*(1-'Sticky Wild'!$D$25)*'Sticky Wild'!$E$25*(1-'Sticky Wild'!$F$25)</f>
        <v>3.6630036630036625E-4</v>
      </c>
      <c r="S33" s="9">
        <f>1*(1-'Sticky Wild'!$C$25)*(1-'Sticky Wild'!$D$25)*'Sticky Wild'!$E$25*1</f>
        <v>4.395604395604393E-3</v>
      </c>
      <c r="T33" s="9">
        <f>1*(1-'Sticky Wild'!$C$25)*(1-'Sticky Wild'!$D$25)*0*(1-'Sticky Wild'!$F$25)</f>
        <v>0</v>
      </c>
      <c r="U33" s="9">
        <f>1*(1-'Sticky Wild'!$C$25)*(1-'Sticky Wild'!$D$25)*0*1</f>
        <v>0</v>
      </c>
      <c r="V33" s="9">
        <f>1*(1-'Sticky Wild'!$C$25)*1*'Sticky Wild'!$E$25*(1-'Sticky Wild'!$F$25)</f>
        <v>5.1282051282051299E-3</v>
      </c>
      <c r="W33" s="9">
        <f>1*(1-'Sticky Wild'!$C$25)*1*'Sticky Wild'!$E$25*1</f>
        <v>6.1538461538461528E-2</v>
      </c>
      <c r="X33" s="9">
        <f>1*(1-'Sticky Wild'!$C$25)*1*0*(1-'Sticky Wild'!$F$25)</f>
        <v>0</v>
      </c>
      <c r="Y33" s="9">
        <f>1*(1-'Sticky Wild'!$C$25)*1*0*1</f>
        <v>0</v>
      </c>
      <c r="Z33" s="9">
        <f>1*1*(1-'Sticky Wild'!$D$25)*'Sticky Wild'!$E$25*(1-'Sticky Wild'!$F$25)</f>
        <v>5.4945054945054949E-3</v>
      </c>
      <c r="AA33" s="9">
        <f>1*1*(1-'Sticky Wild'!$D$25)*'Sticky Wild'!$E$25*1</f>
        <v>6.5934065934065908E-2</v>
      </c>
      <c r="AB33" s="9">
        <f>1*1*(1-'Sticky Wild'!$D$25)*0*(1-'Sticky Wild'!$F$25)</f>
        <v>0</v>
      </c>
      <c r="AC33" s="9">
        <f>1*1*(1-'Sticky Wild'!$D$25)*0*1</f>
        <v>0</v>
      </c>
      <c r="AD33" s="9">
        <f>1*1*1*'Sticky Wild'!$E$25*(1-'Sticky Wild'!$F$25)</f>
        <v>7.6923076923076955E-2</v>
      </c>
      <c r="AE33" s="9">
        <f>1*1*1*'Sticky Wild'!$E$25*1</f>
        <v>0.92307692307692313</v>
      </c>
      <c r="AF33" s="9">
        <f>1*1*1*0*(1-'Sticky Wild'!$F$25)</f>
        <v>0</v>
      </c>
      <c r="AG33" s="9">
        <f>1*1*1*0*1</f>
        <v>0</v>
      </c>
    </row>
    <row r="34" spans="1:33" ht="15" customHeight="1">
      <c r="A34" s="2" t="str">
        <f>DEC2BIN(30,5)</f>
        <v>11110</v>
      </c>
      <c r="B34" s="9">
        <f>(1-'Sticky Wild'!$B$25)*(1-'Sticky Wild'!$C$25)*(1-'Sticky Wild'!$D$25)*(1-'Sticky Wild'!$E$25)*'Sticky Wild'!$F$25</f>
        <v>2.0985958485958459E-5</v>
      </c>
      <c r="C34" s="9">
        <f>(1-'Sticky Wild'!$B$25)*(1-'Sticky Wild'!$C$25)*(1-'Sticky Wild'!$D$25)*(1-'Sticky Wild'!$E$25)*0</f>
        <v>0</v>
      </c>
      <c r="D34" s="9">
        <f>(1-'Sticky Wild'!$B$25)*(1-'Sticky Wild'!$C$25)*(1-'Sticky Wild'!$D$25)*1*'Sticky Wild'!$F$25</f>
        <v>2.7281746031746011E-4</v>
      </c>
      <c r="E34" s="9">
        <f>(1-'Sticky Wild'!$B$25)*(1-'Sticky Wild'!$C$25)*(1-'Sticky Wild'!$D$25)*1*0</f>
        <v>0</v>
      </c>
      <c r="F34" s="9">
        <f>(1-'Sticky Wild'!$B$25)*(1-'Sticky Wild'!$C$25)*1*(1-'Sticky Wild'!$E$25)*'Sticky Wild'!$F$25</f>
        <v>2.9380341880341852E-4</v>
      </c>
      <c r="G34" s="9">
        <f>(1-'Sticky Wild'!$B$25)*(1-'Sticky Wild'!$C$25)*1*(1-'Sticky Wild'!$E$25)*0</f>
        <v>0</v>
      </c>
      <c r="H34" s="9">
        <f>(1-'Sticky Wild'!$B$25)*(1-'Sticky Wild'!$C$25)*1*1*'Sticky Wild'!$F$25</f>
        <v>3.8194444444444435E-3</v>
      </c>
      <c r="I34" s="9">
        <f>(1-'Sticky Wild'!$B$25)*(1-'Sticky Wild'!$C$25)*1*1*0</f>
        <v>0</v>
      </c>
      <c r="J34" s="9">
        <f>(1-'Sticky Wild'!$B$25)*1*(1-'Sticky Wild'!$D$25)*(1-'Sticky Wild'!$E$25)*'Sticky Wild'!$F$25</f>
        <v>3.1478937728937693E-4</v>
      </c>
      <c r="K34" s="9">
        <f>(1-'Sticky Wild'!$B$25)*1*(1-'Sticky Wild'!$D$25)*(1-'Sticky Wild'!$E$25)*0</f>
        <v>0</v>
      </c>
      <c r="L34" s="9">
        <f>(1-'Sticky Wild'!$B$25)*1*(1-'Sticky Wild'!$D$25)*1*'Sticky Wild'!$F$25</f>
        <v>4.0922619047619024E-3</v>
      </c>
      <c r="M34" s="9">
        <f>(1-'Sticky Wild'!$B$25)*1*(1-'Sticky Wild'!$D$25)*1*0</f>
        <v>0</v>
      </c>
      <c r="N34" s="9">
        <f>(1-'Sticky Wild'!$B$25)*1*1*(1-'Sticky Wild'!$E$25)*'Sticky Wild'!$F$25</f>
        <v>4.4070512820512785E-3</v>
      </c>
      <c r="O34" s="9">
        <f>(1-'Sticky Wild'!$B$25)*1*1*(1-'Sticky Wild'!$E$25)*0</f>
        <v>0</v>
      </c>
      <c r="P34" s="9">
        <f>(1-'Sticky Wild'!$B$25)*1*1*1*'Sticky Wild'!$F$25</f>
        <v>5.7291666666666664E-2</v>
      </c>
      <c r="Q34" s="9">
        <f>(1-'Sticky Wild'!$B$25)*1*1*1*0</f>
        <v>0</v>
      </c>
      <c r="R34" s="9">
        <f>1*(1-'Sticky Wild'!$C$25)*(1-'Sticky Wild'!$D$25)*(1-'Sticky Wild'!$E$25)*'Sticky Wild'!$F$25</f>
        <v>3.3577533577533534E-4</v>
      </c>
      <c r="S34" s="9">
        <f>1*(1-'Sticky Wild'!$C$25)*(1-'Sticky Wild'!$D$25)*(1-'Sticky Wild'!$E$25)*0</f>
        <v>0</v>
      </c>
      <c r="T34" s="9">
        <f>1*(1-'Sticky Wild'!$C$25)*(1-'Sticky Wild'!$D$25)*1*'Sticky Wild'!$F$25</f>
        <v>4.3650793650793617E-3</v>
      </c>
      <c r="U34" s="9">
        <f>1*(1-'Sticky Wild'!$C$25)*(1-'Sticky Wild'!$D$25)*1*0</f>
        <v>0</v>
      </c>
      <c r="V34" s="9">
        <f>1*(1-'Sticky Wild'!$C$25)*1*(1-'Sticky Wild'!$E$25)*'Sticky Wild'!$F$25</f>
        <v>4.7008547008546963E-3</v>
      </c>
      <c r="W34" s="9">
        <f>1*(1-'Sticky Wild'!$C$25)*1*(1-'Sticky Wild'!$E$25)*0</f>
        <v>0</v>
      </c>
      <c r="X34" s="9">
        <f>1*(1-'Sticky Wild'!$C$25)*1*1*'Sticky Wild'!$F$25</f>
        <v>6.1111111111111095E-2</v>
      </c>
      <c r="Y34" s="9">
        <f>1*(1-'Sticky Wild'!$C$25)*1*1*0</f>
        <v>0</v>
      </c>
      <c r="Z34" s="9">
        <f>1*1*(1-'Sticky Wild'!$D$25)*(1-'Sticky Wild'!$E$25)*'Sticky Wild'!$F$25</f>
        <v>5.0366300366300309E-3</v>
      </c>
      <c r="AA34" s="9">
        <f>1*1*(1-'Sticky Wild'!$D$25)*(1-'Sticky Wild'!$E$25)*0</f>
        <v>0</v>
      </c>
      <c r="AB34" s="9">
        <f>1*1*(1-'Sticky Wild'!$D$25)*1*'Sticky Wild'!$F$25</f>
        <v>6.5476190476190438E-2</v>
      </c>
      <c r="AC34" s="9">
        <f>1*1*(1-'Sticky Wild'!$D$25)*1*0</f>
        <v>0</v>
      </c>
      <c r="AD34" s="9">
        <f>1*1*1*(1-'Sticky Wild'!$E$25)*'Sticky Wild'!$F$25</f>
        <v>7.0512820512820457E-2</v>
      </c>
      <c r="AE34" s="9">
        <f>1*1*1*(1-'Sticky Wild'!$E$25)*0</f>
        <v>0</v>
      </c>
      <c r="AF34" s="9">
        <f>1*1*1*1*'Sticky Wild'!$F$25</f>
        <v>0.91666666666666663</v>
      </c>
      <c r="AG34" s="9">
        <f>1*1*1*1*0</f>
        <v>0</v>
      </c>
    </row>
    <row r="35" spans="1:33" ht="15" customHeight="1">
      <c r="A35" s="2" t="str">
        <f>DEC2BIN(31,5)</f>
        <v>11111</v>
      </c>
      <c r="B35" s="9">
        <f>(1-'Sticky Wild'!$B$25)*(1-'Sticky Wild'!$C$25)*(1-'Sticky Wild'!$D$25)*(1-'Sticky Wild'!$E$25)*(1-'Sticky Wild'!$F$25)</f>
        <v>1.9078144078144061E-6</v>
      </c>
      <c r="C35" s="9">
        <f>(1-'Sticky Wild'!$B$25)*(1-'Sticky Wild'!$C$25)*(1-'Sticky Wild'!$D$25)*(1-'Sticky Wild'!$E$25)*1</f>
        <v>2.2893772893772863E-5</v>
      </c>
      <c r="D35" s="9">
        <f>(1-'Sticky Wild'!$B$25)*(1-'Sticky Wild'!$C$25)*(1-'Sticky Wild'!$D$25)*1*(1-'Sticky Wild'!$F$25)</f>
        <v>2.4801587301587298E-5</v>
      </c>
      <c r="E35" s="9">
        <f>(1-'Sticky Wild'!$B$25)*(1-'Sticky Wild'!$C$25)*(1-'Sticky Wild'!$D$25)*1*1</f>
        <v>2.9761904761904743E-4</v>
      </c>
      <c r="F35" s="9">
        <f>(1-'Sticky Wild'!$B$25)*(1-'Sticky Wild'!$C$25)*1*(1-'Sticky Wild'!$E$25)*(1-'Sticky Wild'!$F$25)</f>
        <v>2.6709401709401699E-5</v>
      </c>
      <c r="G35" s="9">
        <f>(1-'Sticky Wild'!$B$25)*(1-'Sticky Wild'!$C$25)*1*(1-'Sticky Wild'!$E$25)*1</f>
        <v>3.2051282051282024E-4</v>
      </c>
      <c r="H35" s="9">
        <f>(1-'Sticky Wild'!$B$25)*(1-'Sticky Wild'!$C$25)*1*1*(1-'Sticky Wild'!$F$25)</f>
        <v>3.4722222222222229E-4</v>
      </c>
      <c r="I35" s="9">
        <f>(1-'Sticky Wild'!$B$25)*(1-'Sticky Wild'!$C$25)*1*1*1</f>
        <v>4.1666666666666657E-3</v>
      </c>
      <c r="J35" s="9">
        <f>(1-'Sticky Wild'!$B$25)*1*(1-'Sticky Wild'!$D$25)*(1-'Sticky Wild'!$E$25)*(1-'Sticky Wild'!$F$25)</f>
        <v>2.8617216117216097E-5</v>
      </c>
      <c r="K35" s="9">
        <f>(1-'Sticky Wild'!$B$25)*1*(1-'Sticky Wild'!$D$25)*(1-'Sticky Wild'!$E$25)*1</f>
        <v>3.43406593406593E-4</v>
      </c>
      <c r="L35" s="9">
        <f>(1-'Sticky Wild'!$B$25)*1*(1-'Sticky Wild'!$D$25)*1*(1-'Sticky Wild'!$F$25)</f>
        <v>3.720238095238095E-4</v>
      </c>
      <c r="M35" s="9">
        <f>(1-'Sticky Wild'!$B$25)*1*(1-'Sticky Wild'!$D$25)*1*1</f>
        <v>4.4642857142857123E-3</v>
      </c>
      <c r="N35" s="9">
        <f>(1-'Sticky Wild'!$B$25)*1*1*(1-'Sticky Wild'!$E$25)*(1-'Sticky Wild'!$F$25)</f>
        <v>4.0064102564102557E-4</v>
      </c>
      <c r="O35" s="9">
        <f>(1-'Sticky Wild'!$B$25)*1*1*(1-'Sticky Wild'!$E$25)*1</f>
        <v>4.8076923076923045E-3</v>
      </c>
      <c r="P35" s="9">
        <f>(1-'Sticky Wild'!$B$25)*1*1*1*(1-'Sticky Wild'!$F$25)</f>
        <v>5.2083333333333356E-3</v>
      </c>
      <c r="Q35" s="9">
        <f>(1-'Sticky Wild'!$B$25)*1*1*1*1</f>
        <v>6.25E-2</v>
      </c>
      <c r="R35" s="9">
        <f>1*(1-'Sticky Wild'!$C$25)*(1-'Sticky Wild'!$D$25)*(1-'Sticky Wild'!$E$25)*(1-'Sticky Wild'!$F$25)</f>
        <v>3.0525030525030498E-5</v>
      </c>
      <c r="S35" s="9">
        <f>1*(1-'Sticky Wild'!$C$25)*(1-'Sticky Wild'!$D$25)*(1-'Sticky Wild'!$E$25)*1</f>
        <v>3.6630036630036581E-4</v>
      </c>
      <c r="T35" s="9">
        <f>1*(1-'Sticky Wild'!$C$25)*(1-'Sticky Wild'!$D$25)*1*(1-'Sticky Wild'!$F$25)</f>
        <v>3.9682539682539677E-4</v>
      </c>
      <c r="U35" s="9">
        <f>1*(1-'Sticky Wild'!$C$25)*(1-'Sticky Wild'!$D$25)*1*1</f>
        <v>4.7619047619047589E-3</v>
      </c>
      <c r="V35" s="9">
        <f>1*(1-'Sticky Wild'!$C$25)*1*(1-'Sticky Wild'!$E$25)*(1-'Sticky Wild'!$F$25)</f>
        <v>4.2735042735042719E-4</v>
      </c>
      <c r="W35" s="9">
        <f>1*(1-'Sticky Wild'!$C$25)*1*(1-'Sticky Wild'!$E$25)*1</f>
        <v>5.1282051282051239E-3</v>
      </c>
      <c r="X35" s="9">
        <f>1*(1-'Sticky Wild'!$C$25)*1*1*(1-'Sticky Wild'!$F$25)</f>
        <v>5.5555555555555566E-3</v>
      </c>
      <c r="Y35" s="9">
        <f>1*(1-'Sticky Wild'!$C$25)*1*1*1</f>
        <v>6.6666666666666652E-2</v>
      </c>
      <c r="Z35" s="9">
        <f>1*1*(1-'Sticky Wild'!$D$25)*(1-'Sticky Wild'!$E$25)*(1-'Sticky Wild'!$F$25)</f>
        <v>4.5787545787545755E-4</v>
      </c>
      <c r="AA35" s="9">
        <f>1*1*(1-'Sticky Wild'!$D$25)*(1-'Sticky Wild'!$E$25)*1</f>
        <v>5.494505494505488E-3</v>
      </c>
      <c r="AB35" s="9">
        <f>1*1*(1-'Sticky Wild'!$D$25)*1*(1-'Sticky Wild'!$F$25)</f>
        <v>5.9523809523809521E-3</v>
      </c>
      <c r="AC35" s="9">
        <f>1*1*(1-'Sticky Wild'!$D$25)*1*1</f>
        <v>7.1428571428571397E-2</v>
      </c>
      <c r="AD35" s="9">
        <f>1*1*1*(1-'Sticky Wild'!$E$25)*(1-'Sticky Wild'!$F$25)</f>
        <v>6.4102564102564092E-3</v>
      </c>
      <c r="AE35" s="9">
        <f>1*1*1*(1-'Sticky Wild'!$E$25)*1</f>
        <v>7.6923076923076872E-2</v>
      </c>
      <c r="AF35" s="9">
        <f>1*1*1*1*(1-'Sticky Wild'!$F$25)</f>
        <v>8.333333333333337E-2</v>
      </c>
      <c r="AG35" s="9">
        <f>1*1*1*1*1</f>
        <v>1</v>
      </c>
    </row>
    <row r="36" spans="1:33" ht="15" customHeight="1">
      <c r="A36" s="1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15" customHeight="1">
      <c r="A37" s="8" t="s">
        <v>23</v>
      </c>
      <c r="B37" s="11">
        <f t="shared" ref="B37:AG37" si="0">SUM(B$4:B$35)</f>
        <v>1.0000000000000002</v>
      </c>
      <c r="C37" s="11">
        <f t="shared" si="0"/>
        <v>1</v>
      </c>
      <c r="D37" s="11">
        <f t="shared" si="0"/>
        <v>1.0000000000000002</v>
      </c>
      <c r="E37" s="11">
        <f t="shared" si="0"/>
        <v>1</v>
      </c>
      <c r="F37" s="11">
        <f t="shared" si="0"/>
        <v>1.0000000000000002</v>
      </c>
      <c r="G37" s="11">
        <f t="shared" si="0"/>
        <v>1</v>
      </c>
      <c r="H37" s="11">
        <f t="shared" si="0"/>
        <v>1</v>
      </c>
      <c r="I37" s="11">
        <f t="shared" si="0"/>
        <v>1</v>
      </c>
      <c r="J37" s="11">
        <f t="shared" si="0"/>
        <v>0.99999999999999989</v>
      </c>
      <c r="K37" s="11">
        <f t="shared" si="0"/>
        <v>1</v>
      </c>
      <c r="L37" s="11">
        <f t="shared" si="0"/>
        <v>0.99999999999999989</v>
      </c>
      <c r="M37" s="11">
        <f t="shared" si="0"/>
        <v>1</v>
      </c>
      <c r="N37" s="11">
        <f t="shared" si="0"/>
        <v>1</v>
      </c>
      <c r="O37" s="11">
        <f t="shared" si="0"/>
        <v>1</v>
      </c>
      <c r="P37" s="11">
        <f t="shared" si="0"/>
        <v>1</v>
      </c>
      <c r="Q37" s="11">
        <f t="shared" si="0"/>
        <v>1</v>
      </c>
      <c r="R37" s="11">
        <f t="shared" si="0"/>
        <v>1</v>
      </c>
      <c r="S37" s="11">
        <f t="shared" si="0"/>
        <v>1</v>
      </c>
      <c r="T37" s="11">
        <f t="shared" si="0"/>
        <v>1</v>
      </c>
      <c r="U37" s="11">
        <f t="shared" si="0"/>
        <v>1</v>
      </c>
      <c r="V37" s="11">
        <f t="shared" si="0"/>
        <v>1</v>
      </c>
      <c r="W37" s="11">
        <f t="shared" si="0"/>
        <v>1</v>
      </c>
      <c r="X37" s="11">
        <f t="shared" si="0"/>
        <v>1</v>
      </c>
      <c r="Y37" s="11">
        <f t="shared" si="0"/>
        <v>1</v>
      </c>
      <c r="Z37" s="11">
        <f t="shared" si="0"/>
        <v>1</v>
      </c>
      <c r="AA37" s="11">
        <f t="shared" si="0"/>
        <v>1</v>
      </c>
      <c r="AB37" s="11">
        <f t="shared" si="0"/>
        <v>1</v>
      </c>
      <c r="AC37" s="11">
        <f t="shared" si="0"/>
        <v>1</v>
      </c>
      <c r="AD37" s="11">
        <f t="shared" si="0"/>
        <v>1</v>
      </c>
      <c r="AE37" s="11">
        <f t="shared" si="0"/>
        <v>1</v>
      </c>
      <c r="AF37" s="11">
        <f t="shared" si="0"/>
        <v>1</v>
      </c>
      <c r="AG37" s="11">
        <f t="shared" si="0"/>
        <v>1</v>
      </c>
    </row>
  </sheetData>
  <mergeCells count="2">
    <mergeCell ref="A1:AG1"/>
    <mergeCell ref="A2:AG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showGridLines="0" workbookViewId="0"/>
  </sheetViews>
  <sheetFormatPr defaultRowHeight="14.25"/>
  <cols>
    <col min="1" max="1" width="24" customWidth="1"/>
    <col min="2" max="2" width="100" customWidth="1"/>
  </cols>
  <sheetData>
    <row r="1" spans="1:2" ht="16.7" customHeight="1">
      <c r="A1" s="13" t="s">
        <v>24</v>
      </c>
      <c r="B1" s="13"/>
    </row>
    <row r="2" spans="1:2" ht="15" customHeight="1">
      <c r="A2" s="1"/>
      <c r="B2" s="1"/>
    </row>
    <row r="3" spans="1:2" ht="15" customHeight="1">
      <c r="A3" s="2" t="s">
        <v>25</v>
      </c>
      <c r="B3" s="12" t="s">
        <v>26</v>
      </c>
    </row>
    <row r="4" spans="1:2" ht="15" customHeight="1">
      <c r="A4" s="2" t="s">
        <v>2</v>
      </c>
      <c r="B4" s="12" t="s">
        <v>27</v>
      </c>
    </row>
    <row r="5" spans="1:2" ht="15" customHeight="1">
      <c r="A5" s="2" t="s">
        <v>9</v>
      </c>
      <c r="B5" s="12" t="s">
        <v>28</v>
      </c>
    </row>
    <row r="6" spans="1:2" ht="15" customHeight="1">
      <c r="A6" s="2" t="s">
        <v>29</v>
      </c>
      <c r="B6" s="12" t="s">
        <v>30</v>
      </c>
    </row>
    <row r="7" spans="1:2" ht="15" customHeight="1">
      <c r="A7" s="2" t="s">
        <v>31</v>
      </c>
      <c r="B7" s="12" t="s">
        <v>32</v>
      </c>
    </row>
    <row r="8" spans="1:2" ht="15" customHeight="1">
      <c r="A8" s="2" t="s">
        <v>33</v>
      </c>
      <c r="B8" s="12" t="s">
        <v>34</v>
      </c>
    </row>
    <row r="9" spans="1:2" ht="15" customHeight="1">
      <c r="A9" s="2" t="s">
        <v>35</v>
      </c>
      <c r="B9" s="12" t="s">
        <v>36</v>
      </c>
    </row>
    <row r="10" spans="1:2" ht="15" customHeight="1">
      <c r="A10" s="2" t="s">
        <v>37</v>
      </c>
      <c r="B10" s="12" t="s">
        <v>38</v>
      </c>
    </row>
    <row r="11" spans="1:2" ht="15" customHeight="1">
      <c r="A11" s="2" t="s">
        <v>39</v>
      </c>
      <c r="B11" s="12" t="s">
        <v>40</v>
      </c>
    </row>
    <row r="12" spans="1:2" ht="15" customHeight="1">
      <c r="A12" s="2" t="s">
        <v>41</v>
      </c>
      <c r="B12" s="12" t="s">
        <v>42</v>
      </c>
    </row>
  </sheetData>
  <mergeCells count="1">
    <mergeCell ref="A1:B1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Sticky Wild</vt:lpstr>
      <vt:lpstr>Transition Matrix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黃天宇</cp:lastModifiedBy>
  <dcterms:modified xsi:type="dcterms:W3CDTF">2026-07-24T17:37:29Z</dcterms:modified>
</cp:coreProperties>
</file>