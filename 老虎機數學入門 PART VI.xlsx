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5a5bf05dd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6.85% RTP" sheetId="1" r:id="R027e1d22915c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0"/>
    <x:numFmt numFmtId="202" formatCode="0.000%"/>
  </x:numFmts>
  <x:fonts count="9">
    <x:font>
      <x:sz val="11"/>
      <x:name val="Carlito"/>
    </x:font>
    <x:font>
      <x:b/>
      <x:sz val="14"/>
      <x:color rgb="FFFFFFFF"/>
      <x:name val="Carlito"/>
    </x:font>
    <x:font>
      <x:sz val="11"/>
      <x:color rgb="FF215043"/>
      <x:name val="Carlito"/>
    </x:font>
    <x:font>
      <x:b/>
      <x:sz val="11"/>
      <x:color rgb="FFFFFFFF"/>
      <x:name val="Carlito"/>
    </x:font>
    <x:font>
      <x:b/>
      <x:sz val="11"/>
      <x:color rgb="FF12362F"/>
      <x:name val="Carlito"/>
    </x:font>
    <x:font>
      <x:b/>
      <x:sz val="12"/>
      <x:color rgb="FF002B36"/>
      <x:name val="Carlito"/>
    </x:font>
    <x:font>
      <x:b/>
      <x:sz val="11"/>
      <x:name val="Carlito"/>
    </x:font>
    <x:font>
      <x:b/>
      <x:sz val="14"/>
      <x:color rgb="FFFFFFFF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E35"/>
      </x:patternFill>
    </x:fill>
    <x:fill>
      <x:patternFill patternType="solid">
        <x:fgColor rgb="FFE8F3EC"/>
      </x:patternFill>
    </x:fill>
    <x:fill>
      <x:patternFill patternType="solid">
        <x:fgColor rgb="FF2F6F5E"/>
      </x:patternFill>
    </x:fill>
    <x:fill>
      <x:patternFill patternType="solid">
        <x:fgColor rgb="FFCFE7D5"/>
      </x:patternFill>
    </x:fill>
    <x:fill>
      <x:patternFill patternType="solid">
        <x:fgColor rgb="FFEAF6EA"/>
      </x:patternFill>
    </x:fill>
    <x:fill>
      <x:patternFill patternType="solid">
        <x:fgColor rgb="FF11B5D9"/>
      </x:patternFill>
    </x:fill>
    <x:fill>
      <x:patternFill patternType="solid">
        <x:fgColor rgb="FFFFF3B0"/>
      </x:patternFill>
    </x:fill>
    <x:fill>
      <x:patternFill patternType="solid">
        <x:fgColor rgb="FFF6FBF8"/>
      </x:patternFill>
    </x:fill>
  </x:fills>
  <x:borders count="11">
    <x:border/>
    <x:border>
      <x:left style="thin">
        <x:color rgb="FF89A997"/>
      </x:left>
      <x:right style="thin">
        <x:color rgb="FF89A997"/>
      </x:right>
      <x:top style="thin">
        <x:color rgb="FF89A997"/>
      </x:top>
      <x:bottom style="thin">
        <x:color rgb="FF89A997"/>
      </x:bottom>
    </x:border>
    <x:border>
      <x:left style="thin">
        <x:color rgb="FFAFC8BA"/>
      </x:left>
      <x:right style="thin">
        <x:color rgb="FFAFC8BA"/>
      </x:right>
      <x:top style="thin">
        <x:color rgb="FFAFC8BA"/>
      </x:top>
      <x:bottom style="thin">
        <x:color rgb="FFAFC8BA"/>
      </x:bottom>
    </x:border>
    <x:border>
      <x:left style="thin">
        <x:color rgb="FFAFC8BA"/>
      </x:left>
      <x:top style="thin">
        <x:color rgb="FFAFC8BA"/>
      </x:top>
    </x:border>
    <x:border>
      <x:top style="thin">
        <x:color rgb="FFAFC8BA"/>
      </x:top>
    </x:border>
    <x:border>
      <x:right style="thin">
        <x:color rgb="FFAFC8BA"/>
      </x:right>
      <x:top style="thin">
        <x:color rgb="FFAFC8BA"/>
      </x:top>
    </x:border>
    <x:border>
      <x:left style="thin">
        <x:color rgb="FFAFC8BA"/>
      </x:left>
    </x:border>
    <x:border>
      <x:right style="thin">
        <x:color rgb="FFAFC8BA"/>
      </x:right>
    </x:border>
    <x:border>
      <x:left style="thin">
        <x:color rgb="FFAFC8BA"/>
      </x:left>
      <x:bottom style="thin">
        <x:color rgb="FFAFC8BA"/>
      </x:bottom>
    </x:border>
    <x:border>
      <x:bottom style="thin">
        <x:color rgb="FFAFC8BA"/>
      </x:bottom>
    </x:border>
    <x:border>
      <x:right style="thin">
        <x:color rgb="FFAFC8BA"/>
      </x:right>
      <x:bottom style="thin">
        <x:color rgb="FFAFC8B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7" borderId="2" xfId="0" applyNumberFormat="1" applyFont="1" applyFill="1" applyBorder="1" applyAlignment="1">
      <x:alignment vertical="center"/>
    </x:xf>
    <x:xf numFmtId="202" fontId="5" fillId="7" borderId="2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200" fontId="0" fillId="8" borderId="2" xfId="0" applyNumberFormat="1" applyFont="1" applyFill="1" applyBorder="1" applyAlignment="1">
      <x:alignment vertical="center"/>
    </x:xf>
    <x:xf numFmtId="202" fontId="0" fillId="8" borderId="2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200" fontId="6" fillId="8" borderId="2" xfId="0" applyNumberFormat="1" applyFont="1" applyFill="1" applyBorder="1" applyAlignment="1">
      <x:alignment vertical="center"/>
    </x:xf>
    <x:xf numFmtId="202" fontId="6" fillId="8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3" xfId="0" applyNumberFormat="1" applyFont="1" applyFill="1" applyBorder="1"/>
    <x:xf numFmtId="0" fontId="2" fillId="9" borderId="4" xfId="0" applyNumberFormat="1" applyFont="1" applyFill="1" applyBorder="1"/>
    <x:xf numFmtId="0" fontId="2" fillId="9" borderId="5" xfId="0" applyNumberFormat="1" applyFont="1" applyFill="1" applyBorder="1"/>
    <x:xf numFmtId="0" fontId="2" fillId="9" borderId="6" xfId="0" applyNumberFormat="1" applyFont="1" applyFill="1" applyBorder="1"/>
    <x:xf numFmtId="0" fontId="2" fillId="9" borderId="7" xfId="0" applyNumberFormat="1" applyFont="1" applyFill="1" applyBorder="1"/>
    <x:xf numFmtId="0" fontId="2" fillId="9" borderId="8" xfId="0" applyNumberFormat="1" applyFont="1" applyFill="1" applyBorder="1"/>
    <x:xf numFmtId="0" fontId="2" fillId="9" borderId="9" xfId="0" applyNumberFormat="1" applyFont="1" applyFill="1" applyBorder="1"/>
    <x:xf numFmtId="0" fontId="2" fillId="9" borderId="10" xfId="0" applyNumberFormat="1" applyFont="1" applyFill="1" applyBorder="1"/>
    <x:xf numFmtId="0" fontId="2" fillId="9" borderId="3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2" fillId="9" borderId="6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7" xfId="0" applyNumberFormat="1" applyFont="1" applyFill="1" applyBorder="1" applyAlignment="1">
      <x:alignment vertical="top" wrapText="1"/>
    </x:xf>
    <x:xf numFmtId="0" fontId="2" fillId="9" borderId="8" xfId="0" applyNumberFormat="1" applyFont="1" applyFill="1" applyBorder="1" applyAlignment="1">
      <x:alignment vertical="top" wrapText="1"/>
    </x:xf>
    <x:xf numFmtId="0" fontId="2" fillId="9" borderId="9" xfId="0" applyNumberFormat="1" applyFont="1" applyFill="1" applyBorder="1" applyAlignment="1">
      <x:alignment vertical="top" wrapText="1"/>
    </x:xf>
    <x:xf numFmtId="0" fontId="2" fillId="9" borderId="1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6101e865d4766" /><Relationship Type="http://schemas.openxmlformats.org/officeDocument/2006/relationships/theme" Target="/xl/theme/theme1.xml" Id="R0ef796f0e06a4313" /><Relationship Type="http://schemas.openxmlformats.org/officeDocument/2006/relationships/sharedStrings" Target="/xl/sharedStrings.xml" Id="Rc7f418c6e3c14cbf" /><Relationship Type="http://schemas.openxmlformats.org/officeDocument/2006/relationships/worksheet" Target="/xl/worksheets/sheet1.xml" Id="R027e1d22915c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1" hidden="0" customWidth="1"/>
    <x:col min="17" max="17" width="11" hidden="0" customWidth="1"/>
    <x:col min="18" max="18" width="11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67" t="str">
        <x:v>老虎機數學入門 PART VI - 獨立滾輪 96.85% RTP 範例</x:v>
      </x:c>
      <x:c r="B1" s="67" t="str">
        <x:v>老虎機數學入門 PART VI - 獨立滾輪 96.85% RTP 範例</x:v>
      </x:c>
      <x:c r="C1" s="67" t="str">
        <x:v>老虎機數學入門 PART VI - 獨立滾輪 96.85% RTP 範例</x:v>
      </x:c>
      <x:c r="D1" s="67" t="str">
        <x:v>老虎機數學入門 PART VI - 獨立滾輪 96.85% RTP 範例</x:v>
      </x:c>
      <x:c r="E1" s="67" t="str">
        <x:v>老虎機數學入門 PART VI - 獨立滾輪 96.85% RTP 範例</x:v>
      </x:c>
      <x:c r="F1" s="67" t="str">
        <x:v>老虎機數學入門 PART VI - 獨立滾輪 96.85% RTP 範例</x:v>
      </x:c>
      <x:c r="G1" s="67" t="str">
        <x:v>老虎機數學入門 PART VI - 獨立滾輪 96.85% RTP 範例</x:v>
      </x:c>
      <x:c r="H1" s="67" t="str">
        <x:v>老虎機數學入門 PART VI - 獨立滾輪 96.85% RTP 範例</x:v>
      </x:c>
      <x:c r="I1" s="67" t="str">
        <x:v>老虎機數學入門 PART VI - 獨立滾輪 96.85% RTP 範例</x:v>
      </x:c>
      <x:c r="J1" s="67" t="str">
        <x:v>老虎機數學入門 PART VI - 獨立滾輪 96.85% RTP 範例</x:v>
      </x:c>
      <x:c r="K1" s="67" t="str">
        <x:v>老虎機數學入門 PART VI - 獨立滾輪 96.85% RTP 範例</x:v>
      </x:c>
      <x:c r="L1" s="67" t="str">
        <x:v>老虎機數學入門 PART VI - 獨立滾輪 96.85% RTP 範例</x:v>
      </x:c>
      <x:c r="M1" s="67" t="str">
        <x:v>老虎機數學入門 PART VI - 獨立滾輪 96.85% RTP 範例</x:v>
      </x:c>
      <x:c r="N1" s="67" t="str">
        <x:v>老虎機數學入門 PART VI - 獨立滾輪 96.85% RTP 範例</x:v>
      </x:c>
      <x:c r="O1" s="67" t="str">
        <x:v>老虎機數學入門 PART VI - 獨立滾輪 96.85% RTP 範例</x:v>
      </x:c>
      <x:c r="P1" s="67" t="str">
        <x:v>老虎機數學入門 PART VI - 獨立滾輪 96.85% RTP 範例</x:v>
      </x:c>
      <x:c r="Q1" s="67" t="str">
        <x:v>老虎機數學入門 PART VI - 獨立滾輪 96.85% RTP 範例</x:v>
      </x:c>
      <x:c r="R1" s="67" t="str">
        <x:v>老虎機數學入門 PART VI - 獨立滾輪 96.85% RTP 範例</x:v>
      </x:c>
      <x:c r="S1" s="67" t="str">
        <x:v>老虎機數學入門 PART VI - 獨立滾輪 96.85% RTP 範例</x:v>
      </x:c>
      <x:c r="T1" s="67" t="str">
        <x:v>老虎機數學入門 PART VI - 獨立滾輪 96.85% RTP 範例</x:v>
      </x:c>
      <x:c r="U1" s="67" t="str">
        <x:v>老虎機數學入門 PART VI - 獨立滾輪 96.85% RTP 範例</x:v>
      </x:c>
      <x:c r="V1" s="67" t="str">
        <x:v>老虎機數學入門 PART VI - 獨立滾輪 96.85% RTP 範例</x:v>
      </x:c>
      <x:c r="W1" s="67" t="str">
        <x:v>老虎機數學入門 PART VI - 獨立滾輪 96.85% RTP 範例</x:v>
      </x:c>
      <x:c r="X1" s="67" t="str">
        <x:v>老虎機數學入門 PART VI - 獨立滾輪 96.85% RTP 範例</x:v>
      </x:c>
      <x:c r="Y1" s="67" t="str">
        <x:v>老虎機數學入門 PART VI - 獨立滾輪 96.85% RTP 範例</x:v>
      </x:c>
    </x:row>
    <x:row r="2">
      <x:c r="A2" s="6" t="str">
        <x:v>Source: https://ezslotdesign.com/slotmath6/；本表只實作同一欄相同輪帶的 96.85% RTP 範例，不包含同欄不同輪帶變體。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4">
      <x:c r="A4" s="10" t="str">
        <x:v>3x3 獨立滾輪表</x:v>
      </x:c>
      <x:c r="B4" s="10" t="str">
        <x:v>3x3 獨立滾輪表</x:v>
      </x:c>
      <x:c r="C4" s="10" t="str">
        <x:v>3x3 獨立滾輪表</x:v>
      </x:c>
      <x:c r="D4" s="10" t="str">
        <x:v>3x3 獨立滾輪表</x:v>
      </x:c>
      <x:c r="F4" s="10" t="str">
        <x:v>符號個數統計</x:v>
      </x:c>
      <x:c r="G4" s="10" t="str">
        <x:v>符號個數統計</x:v>
      </x:c>
      <x:c r="H4" s="10" t="str">
        <x:v>符號個數統計</x:v>
      </x:c>
      <x:c r="I4" s="10" t="str">
        <x:v>符號個數統計</x:v>
      </x:c>
      <x:c r="K4" s="10" t="str">
        <x:v>RTP Summary</x:v>
      </x:c>
      <x:c r="L4" s="10" t="str">
        <x:v>RTP Summary</x:v>
      </x:c>
      <x:c r="N4" s="10" t="str">
        <x:v>5 條 Payline 定義</x:v>
      </x:c>
      <x:c r="O4" s="10" t="str">
        <x:v>5 條 Payline 定義</x:v>
      </x:c>
      <x:c r="P4" s="10" t="str">
        <x:v>5 條 Payline 定義</x:v>
      </x:c>
      <x:c r="Q4" s="10" t="str">
        <x:v>5 條 Payline 定義</x:v>
      </x:c>
      <x:c r="R4" s="10" t="str">
        <x:v>5 條 Payline 定義</x:v>
      </x:c>
    </x:row>
    <x:row r="5">
      <x:c r="A5" s="16" t="str">
        <x:v>位置</x:v>
      </x:c>
      <x:c r="B5" s="16" t="str">
        <x:v>滾輪 1/4/7</x:v>
      </x:c>
      <x:c r="C5" s="16" t="str">
        <x:v>滾輪 2/5/8</x:v>
      </x:c>
      <x:c r="D5" s="16" t="str">
        <x:v>滾輪 3/6/9</x:v>
      </x:c>
      <x:c r="F5" s="16" t="str">
        <x:v>符號</x:v>
      </x:c>
      <x:c r="G5" s="16" t="str">
        <x:v>滾輪 1/4/7</x:v>
      </x:c>
      <x:c r="H5" s="16" t="str">
        <x:v>滾輪 2/5/8</x:v>
      </x:c>
      <x:c r="I5" s="16" t="str">
        <x:v>滾輪 3/6/9</x:v>
      </x:c>
      <x:c r="K5" s="27" t="str">
        <x:v>單線組合數</x:v>
      </x:c>
      <x:c r="L5" s="28" t="n">
        <x:f>PRODUCT(G12:I12)</x:f>
        <x:v>8000</x:v>
      </x:c>
      <x:c r="N5" s="16" t="str">
        <x:v>Line</x:v>
      </x:c>
      <x:c r="O5" s="16" t="str">
        <x:v>格1</x:v>
      </x:c>
      <x:c r="P5" s="16" t="str">
        <x:v>格2</x:v>
      </x:c>
      <x:c r="Q5" s="16" t="str">
        <x:v>格3</x:v>
      </x:c>
      <x:c r="R5" s="16" t="str">
        <x:v>型態</x:v>
      </x:c>
    </x:row>
    <x:row r="6">
      <x:c r="A6" s="20" t="n">
        <x:v>1</x:v>
      </x:c>
      <x:c r="B6" s="19" t="str">
        <x:v>10</x:v>
      </x:c>
      <x:c r="C6" s="19" t="str">
        <x:v>Q</x:v>
      </x:c>
      <x:c r="D6" s="19" t="str">
        <x:v>10</x:v>
      </x:c>
      <x:c r="F6" s="18" t="str">
        <x:v>W</x:v>
      </x:c>
      <x:c r="G6" s="18" t="n">
        <x:f>COUNTIF(B$6:B$25,$F6)</x:f>
        <x:v>0</x:v>
      </x:c>
      <x:c r="H6" s="18" t="n">
        <x:f>COUNTIF(C$6:C$25,$F6)</x:f>
        <x:v>2</x:v>
      </x:c>
      <x:c r="I6" s="18" t="n">
        <x:f>COUNTIF(D$6:D$25,$F6)</x:f>
        <x:v>2</x:v>
      </x:c>
      <x:c r="K6" s="27" t="str">
        <x:v>線數</x:v>
      </x:c>
      <x:c r="L6" s="28" t="n">
        <x:v>5</x:v>
      </x:c>
      <x:c r="N6" s="19" t="n">
        <x:v>1</x:v>
      </x:c>
      <x:c r="O6" s="19" t="n">
        <x:v>1</x:v>
      </x:c>
      <x:c r="P6" s="19" t="n">
        <x:v>2</x:v>
      </x:c>
      <x:c r="Q6" s="19" t="n">
        <x:v>3</x:v>
      </x:c>
      <x:c r="R6" s="18" t="str">
        <x:v>上排</x:v>
      </x:c>
    </x:row>
    <x:row r="7">
      <x:c r="A7" s="20" t="n">
        <x:v>2</x:v>
      </x:c>
      <x:c r="B7" s="19" t="str">
        <x:v>K</x:v>
      </x:c>
      <x:c r="C7" s="19" t="str">
        <x:v>Q</x:v>
      </x:c>
      <x:c r="D7" s="19" t="str">
        <x:v>Q</x:v>
      </x:c>
      <x:c r="F7" s="18" t="str">
        <x:v>A</x:v>
      </x:c>
      <x:c r="G7" s="18" t="n">
        <x:f>COUNTIF(B$6:B$25,$F7)</x:f>
        <x:v>2</x:v>
      </x:c>
      <x:c r="H7" s="18" t="n">
        <x:f>COUNTIF(C$6:C$25,$F7)</x:f>
        <x:v>1</x:v>
      </x:c>
      <x:c r="I7" s="18" t="n">
        <x:f>COUNTIF(D$6:D$25,$F7)</x:f>
        <x:v>1</x:v>
      </x:c>
      <x:c r="K7" s="27" t="str">
        <x:v>Bet / line</x:v>
      </x:c>
      <x:c r="L7" s="28" t="n">
        <x:v>1</x:v>
      </x:c>
      <x:c r="N7" s="19" t="n">
        <x:v>2</x:v>
      </x:c>
      <x:c r="O7" s="19" t="n">
        <x:v>4</x:v>
      </x:c>
      <x:c r="P7" s="19" t="n">
        <x:v>5</x:v>
      </x:c>
      <x:c r="Q7" s="19" t="n">
        <x:v>6</x:v>
      </x:c>
      <x:c r="R7" s="18" t="str">
        <x:v>中排</x:v>
      </x:c>
    </x:row>
    <x:row r="8">
      <x:c r="A8" s="20" t="n">
        <x:v>3</x:v>
      </x:c>
      <x:c r="B8" s="19" t="str">
        <x:v>Q</x:v>
      </x:c>
      <x:c r="C8" s="19" t="str">
        <x:v>J</x:v>
      </x:c>
      <x:c r="D8" s="19" t="str">
        <x:v>J</x:v>
      </x:c>
      <x:c r="F8" s="18" t="str">
        <x:v>K</x:v>
      </x:c>
      <x:c r="G8" s="18" t="n">
        <x:f>COUNTIF(B$6:B$25,$F8)</x:f>
        <x:v>3</x:v>
      </x:c>
      <x:c r="H8" s="18" t="n">
        <x:f>COUNTIF(C$6:C$25,$F8)</x:f>
        <x:v>3</x:v>
      </x:c>
      <x:c r="I8" s="18" t="n">
        <x:f>COUNTIF(D$6:D$25,$F8)</x:f>
        <x:v>2</x:v>
      </x:c>
      <x:c r="K8" s="27" t="str">
        <x:v>總押注</x:v>
      </x:c>
      <x:c r="L8" s="28" t="n">
        <x:f>L6*L7</x:f>
        <x:v>5</x:v>
      </x:c>
      <x:c r="N8" s="19" t="n">
        <x:v>3</x:v>
      </x:c>
      <x:c r="O8" s="19" t="n">
        <x:v>7</x:v>
      </x:c>
      <x:c r="P8" s="19" t="n">
        <x:v>8</x:v>
      </x:c>
      <x:c r="Q8" s="19" t="n">
        <x:v>9</x:v>
      </x:c>
      <x:c r="R8" s="18" t="str">
        <x:v>下排</x:v>
      </x:c>
    </x:row>
    <x:row r="9">
      <x:c r="A9" s="20" t="n">
        <x:v>4</x:v>
      </x:c>
      <x:c r="B9" s="19" t="str">
        <x:v>J</x:v>
      </x:c>
      <x:c r="C9" s="19" t="str">
        <x:v>10</x:v>
      </x:c>
      <x:c r="D9" s="19" t="str">
        <x:v>J</x:v>
      </x:c>
      <x:c r="F9" s="18" t="str">
        <x:v>Q</x:v>
      </x:c>
      <x:c r="G9" s="18" t="n">
        <x:f>COUNTIF(B$6:B$25,$F9)</x:f>
        <x:v>4</x:v>
      </x:c>
      <x:c r="H9" s="18" t="n">
        <x:f>COUNTIF(C$6:C$25,$F9)</x:f>
        <x:v>4</x:v>
      </x:c>
      <x:c r="I9" s="18" t="n">
        <x:f>COUNTIF(D$6:D$25,$F9)</x:f>
        <x:v>4</x:v>
      </x:c>
      <x:c r="K9" s="27" t="str">
        <x:v>單線期望得分</x:v>
      </x:c>
      <x:c r="L9" s="28" t="n">
        <x:f>SUM(V16:V20)</x:f>
        <x:v>0.9684999999999999</x:v>
      </x:c>
      <x:c r="N9" s="19" t="n">
        <x:v>4</x:v>
      </x:c>
      <x:c r="O9" s="19" t="n">
        <x:v>1</x:v>
      </x:c>
      <x:c r="P9" s="19" t="n">
        <x:v>5</x:v>
      </x:c>
      <x:c r="Q9" s="19" t="n">
        <x:v>9</x:v>
      </x:c>
      <x:c r="R9" s="18" t="str">
        <x:v>左上到右下</x:v>
      </x:c>
    </x:row>
    <x:row r="10">
      <x:c r="A10" s="20" t="n">
        <x:v>5</x:v>
      </x:c>
      <x:c r="B10" s="19" t="str">
        <x:v>10</x:v>
      </x:c>
      <x:c r="C10" s="19" t="str">
        <x:v>10</x:v>
      </x:c>
      <x:c r="D10" s="19" t="str">
        <x:v>10</x:v>
      </x:c>
      <x:c r="F10" s="18" t="str">
        <x:v>J</x:v>
      </x:c>
      <x:c r="G10" s="18" t="n">
        <x:f>COUNTIF(B$6:B$25,$F10)</x:f>
        <x:v>6</x:v>
      </x:c>
      <x:c r="H10" s="18" t="n">
        <x:f>COUNTIF(C$6:C$25,$F10)</x:f>
        <x:v>4</x:v>
      </x:c>
      <x:c r="I10" s="18" t="n">
        <x:f>COUNTIF(D$6:D$25,$F10)</x:f>
        <x:v>6</x:v>
      </x:c>
      <x:c r="K10" s="27" t="str">
        <x:v>單線 RTP</x:v>
      </x:c>
      <x:c r="L10" s="29" t="n">
        <x:f>L9/L7</x:f>
        <x:v>0.9684999999999999</x:v>
      </x:c>
      <x:c r="N10" s="19" t="n">
        <x:v>5</x:v>
      </x:c>
      <x:c r="O10" s="19" t="n">
        <x:v>3</x:v>
      </x:c>
      <x:c r="P10" s="19" t="n">
        <x:v>5</x:v>
      </x:c>
      <x:c r="Q10" s="19" t="n">
        <x:v>7</x:v>
      </x:c>
      <x:c r="R10" s="18" t="str">
        <x:v>右上到左下</x:v>
      </x:c>
    </x:row>
    <x:row r="11">
      <x:c r="A11" s="20" t="n">
        <x:v>6</x:v>
      </x:c>
      <x:c r="B11" s="19" t="str">
        <x:v>10</x:v>
      </x:c>
      <x:c r="C11" s="19" t="str">
        <x:v>W</x:v>
      </x:c>
      <x:c r="D11" s="19" t="str">
        <x:v>W</x:v>
      </x:c>
      <x:c r="F11" s="18" t="str">
        <x:v>10</x:v>
      </x:c>
      <x:c r="G11" s="18" t="n">
        <x:f>COUNTIF(B$6:B$25,$F11)</x:f>
        <x:v>5</x:v>
      </x:c>
      <x:c r="H11" s="18" t="n">
        <x:f>COUNTIF(C$6:C$25,$F11)</x:f>
        <x:v>6</x:v>
      </x:c>
      <x:c r="I11" s="18" t="n">
        <x:f>COUNTIF(D$6:D$25,$F11)</x:f>
        <x:v>5</x:v>
      </x:c>
      <x:c r="K11" s="27" t="str">
        <x:v>總期望得分</x:v>
      </x:c>
      <x:c r="L11" s="29" t="n">
        <x:f>L9*L6</x:f>
        <x:v>4.842499999999999</x:v>
      </x:c>
      <x:c r="N11" s="57" t="str">
        <x:v>說明：獨立滾輪每格各自抽取；本範例讓同一欄使用相同輪帶，因此每條 line 的期望值相同。若同一欄中存在不同輪帶，必須逐條 line 算 RTP 後再平均。</x:v>
      </x:c>
      <x:c r="O11" s="58"/>
      <x:c r="P11" s="58"/>
      <x:c r="Q11" s="58"/>
      <x:c r="R11" s="58"/>
      <x:c r="S11" s="58"/>
      <x:c r="T11" s="58"/>
      <x:c r="U11" s="58"/>
      <x:c r="V11" s="59"/>
    </x:row>
    <x:row r="12">
      <x:c r="A12" s="20" t="n">
        <x:v>7</x:v>
      </x:c>
      <x:c r="B12" s="19" t="str">
        <x:v>10</x:v>
      </x:c>
      <x:c r="C12" s="19" t="str">
        <x:v>K</x:v>
      </x:c>
      <x:c r="D12" s="19" t="str">
        <x:v>J</x:v>
      </x:c>
      <x:c r="F12" s="18" t="str">
        <x:v>Total</x:v>
      </x:c>
      <x:c r="G12" s="18" t="n">
        <x:f>SUM(G6:G11)</x:f>
        <x:v>20</x:v>
      </x:c>
      <x:c r="H12" s="18" t="n">
        <x:f>SUM(H6:H11)</x:f>
        <x:v>20</x:v>
      </x:c>
      <x:c r="I12" s="18" t="n">
        <x:f>SUM(I6:I11)</x:f>
        <x:v>20</x:v>
      </x:c>
      <x:c r="K12" s="27" t="str">
        <x:v>Total RTP</x:v>
      </x:c>
      <x:c r="L12" s="31" t="n">
        <x:f>L11/L8</x:f>
        <x:v>0.9684999999999999</x:v>
      </x:c>
      <x:c r="N12" s="60"/>
      <x:c r="O12" s="61"/>
      <x:c r="P12" s="61"/>
      <x:c r="Q12" s="61"/>
      <x:c r="R12" s="61"/>
      <x:c r="S12" s="61"/>
      <x:c r="T12" s="61"/>
      <x:c r="U12" s="61"/>
      <x:c r="V12" s="62"/>
    </x:row>
    <x:row r="13">
      <x:c r="A13" s="20" t="n">
        <x:v>8</x:v>
      </x:c>
      <x:c r="B13" s="19" t="str">
        <x:v>A</x:v>
      </x:c>
      <x:c r="C13" s="19" t="str">
        <x:v>J</x:v>
      </x:c>
      <x:c r="D13" s="19" t="str">
        <x:v>K</x:v>
      </x:c>
      <x:c r="N13" s="63"/>
      <x:c r="O13" s="64"/>
      <x:c r="P13" s="64"/>
      <x:c r="Q13" s="64"/>
      <x:c r="R13" s="64"/>
      <x:c r="S13" s="64"/>
      <x:c r="T13" s="64"/>
      <x:c r="U13" s="64"/>
      <x:c r="V13" s="65"/>
    </x:row>
    <x:row r="14">
      <x:c r="A14" s="20" t="n">
        <x:v>9</x:v>
      </x:c>
      <x:c r="B14" s="19" t="str">
        <x:v>J</x:v>
      </x:c>
      <x:c r="C14" s="19" t="str">
        <x:v>10</x:v>
      </x:c>
      <x:c r="D14" s="19" t="str">
        <x:v>J</x:v>
      </x:c>
      <x:c r="K14" s="10" t="str">
        <x:v>單線中獎組合計算（同一欄輪帶相同，因此 5 條線 RTP 相同）</x:v>
      </x:c>
      <x:c r="L14" s="10" t="str">
        <x:v>單線中獎組合計算（同一欄輪帶相同，因此 5 條線 RTP 相同）</x:v>
      </x:c>
      <x:c r="M14" s="10" t="str">
        <x:v>單線中獎組合計算（同一欄輪帶相同，因此 5 條線 RTP 相同）</x:v>
      </x:c>
      <x:c r="N14" s="10" t="str">
        <x:v>單線中獎組合計算（同一欄輪帶相同，因此 5 條線 RTP 相同）</x:v>
      </x:c>
      <x:c r="O14" s="10" t="str">
        <x:v>單線中獎組合計算（同一欄輪帶相同，因此 5 條線 RTP 相同）</x:v>
      </x:c>
      <x:c r="P14" s="10" t="str">
        <x:v>單線中獎組合計算（同一欄輪帶相同，因此 5 條線 RTP 相同）</x:v>
      </x:c>
      <x:c r="Q14" s="10" t="str">
        <x:v>單線中獎組合計算（同一欄輪帶相同，因此 5 條線 RTP 相同）</x:v>
      </x:c>
      <x:c r="R14" s="10" t="str">
        <x:v>單線中獎組合計算（同一欄輪帶相同，因此 5 條線 RTP 相同）</x:v>
      </x:c>
      <x:c r="S14" s="10" t="str">
        <x:v>單線中獎組合計算（同一欄輪帶相同，因此 5 條線 RTP 相同）</x:v>
      </x:c>
      <x:c r="T14" s="10" t="str">
        <x:v>單線中獎組合計算（同一欄輪帶相同，因此 5 條線 RTP 相同）</x:v>
      </x:c>
      <x:c r="U14" s="10" t="str">
        <x:v>單線中獎組合計算（同一欄輪帶相同，因此 5 條線 RTP 相同）</x:v>
      </x:c>
      <x:c r="V14" s="10" t="str">
        <x:v>單線中獎組合計算（同一欄輪帶相同，因此 5 條線 RTP 相同）</x:v>
      </x:c>
    </x:row>
    <x:row r="15">
      <x:c r="A15" s="20" t="n">
        <x:v>10</x:v>
      </x:c>
      <x:c r="B15" s="19" t="str">
        <x:v>J</x:v>
      </x:c>
      <x:c r="C15" s="19" t="str">
        <x:v>10</x:v>
      </x:c>
      <x:c r="D15" s="19" t="str">
        <x:v>10</x:v>
      </x:c>
      <x:c r="F15" s="10" t="str">
        <x:v>符號 + Wild 個數</x:v>
      </x:c>
      <x:c r="G15" s="10" t="str">
        <x:v>符號 + Wild 個數</x:v>
      </x:c>
      <x:c r="H15" s="10" t="str">
        <x:v>符號 + Wild 個數</x:v>
      </x:c>
      <x:c r="I15" s="10" t="str">
        <x:v>符號 + Wild 個數</x:v>
      </x:c>
      <x:c r="K15" s="16" t="str">
        <x:v>符號</x:v>
      </x:c>
      <x:c r="L15" s="16" t="str">
        <x:v>連線數</x:v>
      </x:c>
      <x:c r="M15" s="16" t="str">
        <x:v>轉輪1</x:v>
      </x:c>
      <x:c r="N15" s="16" t="str">
        <x:v>轉輪2</x:v>
      </x:c>
      <x:c r="O15" s="16" t="str">
        <x:v>轉輪3</x:v>
      </x:c>
      <x:c r="P15" s="16" t="str">
        <x:v>轉輪1次數</x:v>
      </x:c>
      <x:c r="Q15" s="16" t="str">
        <x:v>轉輪2次數</x:v>
      </x:c>
      <x:c r="R15" s="16" t="str">
        <x:v>轉輪3次數</x:v>
      </x:c>
      <x:c r="S15" s="16" t="str">
        <x:v>出現次數</x:v>
      </x:c>
      <x:c r="T15" s="16" t="str">
        <x:v>出現機率</x:v>
      </x:c>
      <x:c r="U15" s="16" t="str">
        <x:v>得分</x:v>
      </x:c>
      <x:c r="V15" s="16" t="str">
        <x:v>期望值</x:v>
      </x:c>
    </x:row>
    <x:row r="16">
      <x:c r="A16" s="20" t="n">
        <x:v>11</x:v>
      </x:c>
      <x:c r="B16" s="19" t="str">
        <x:v>J</x:v>
      </x:c>
      <x:c r="C16" s="19" t="str">
        <x:v>K</x:v>
      </x:c>
      <x:c r="D16" s="19" t="str">
        <x:v>Q</x:v>
      </x:c>
      <x:c r="F16" s="22" t="str">
        <x:v>W</x:v>
      </x:c>
      <x:c r="G16" s="22" t="n">
        <x:f>G6</x:f>
        <x:v>0</x:v>
      </x:c>
      <x:c r="H16" s="22" t="n">
        <x:f>H6</x:f>
        <x:v>2</x:v>
      </x:c>
      <x:c r="I16" s="22" t="n">
        <x:f>I6</x:f>
        <x:v>2</x:v>
      </x:c>
      <x:c r="K16" s="18" t="str">
        <x:v>A</x:v>
      </x:c>
      <x:c r="L16" s="18" t="n">
        <x:v>3</x:v>
      </x:c>
      <x:c r="M16" s="18" t="str">
        <x:f>"W"&amp;K16</x:f>
        <x:v>WA</x:v>
      </x:c>
      <x:c r="N16" s="18" t="str">
        <x:f>"W"&amp;K16</x:f>
        <x:v>WA</x:v>
      </x:c>
      <x:c r="O16" s="18" t="str">
        <x:f>"W"&amp;K16</x:f>
        <x:v>WA</x:v>
      </x:c>
      <x:c r="P16" s="18" t="n">
        <x:f>VLOOKUP(M16,$F$16:$I$21,2,FALSE)</x:f>
        <x:v>2</x:v>
      </x:c>
      <x:c r="Q16" s="18" t="n">
        <x:f>VLOOKUP(N16,$F$16:$I$21,3,FALSE)</x:f>
        <x:v>3</x:v>
      </x:c>
      <x:c r="R16" s="18" t="n">
        <x:f>VLOOKUP(O16,$F$16:$I$21,4,FALSE)</x:f>
        <x:v>3</x:v>
      </x:c>
      <x:c r="S16" s="25" t="n">
        <x:f>PRODUCT(P16:R16)</x:f>
        <x:v>18</x:v>
      </x:c>
      <x:c r="T16" s="29" t="n">
        <x:f>S16/$L$5</x:f>
        <x:v>0.00225</x:v>
      </x:c>
      <x:c r="U16" s="25" t="n">
        <x:f>VLOOKUP(K16,$F$25:$G$29,2,FALSE)</x:f>
        <x:v>50</x:v>
      </x:c>
      <x:c r="V16" s="29" t="n">
        <x:f>T16*U16</x:f>
        <x:v>0.11249999999999999</x:v>
      </x:c>
    </x:row>
    <x:row r="17">
      <x:c r="A17" s="20" t="n">
        <x:v>12</x:v>
      </x:c>
      <x:c r="B17" s="19" t="str">
        <x:v>Q</x:v>
      </x:c>
      <x:c r="C17" s="19" t="str">
        <x:v>Q</x:v>
      </x:c>
      <x:c r="D17" s="19" t="str">
        <x:v>10</x:v>
      </x:c>
      <x:c r="F17" s="18" t="str">
        <x:v>WA</x:v>
      </x:c>
      <x:c r="G17" s="18" t="n">
        <x:f>G$6+G7</x:f>
        <x:v>2</x:v>
      </x:c>
      <x:c r="H17" s="18" t="n">
        <x:f>H$6+H7</x:f>
        <x:v>3</x:v>
      </x:c>
      <x:c r="I17" s="18" t="n">
        <x:f>I$6+I7</x:f>
        <x:v>3</x:v>
      </x:c>
      <x:c r="K17" s="18" t="str">
        <x:v>K</x:v>
      </x:c>
      <x:c r="L17" s="18" t="n">
        <x:v>3</x:v>
      </x:c>
      <x:c r="M17" s="18" t="str">
        <x:f>"W"&amp;K17</x:f>
        <x:v>WK</x:v>
      </x:c>
      <x:c r="N17" s="18" t="str">
        <x:f>"W"&amp;K17</x:f>
        <x:v>WK</x:v>
      </x:c>
      <x:c r="O17" s="18" t="str">
        <x:f>"W"&amp;K17</x:f>
        <x:v>WK</x:v>
      </x:c>
      <x:c r="P17" s="18" t="n">
        <x:f>VLOOKUP(M17,$F$16:$I$21,2,FALSE)</x:f>
        <x:v>3</x:v>
      </x:c>
      <x:c r="Q17" s="18" t="n">
        <x:f>VLOOKUP(N17,$F$16:$I$21,3,FALSE)</x:f>
        <x:v>5</x:v>
      </x:c>
      <x:c r="R17" s="18" t="n">
        <x:f>VLOOKUP(O17,$F$16:$I$21,4,FALSE)</x:f>
        <x:v>4</x:v>
      </x:c>
      <x:c r="S17" s="25" t="n">
        <x:f>PRODUCT(P17:R17)</x:f>
        <x:v>60</x:v>
      </x:c>
      <x:c r="T17" s="29" t="n">
        <x:f>S17/$L$5</x:f>
        <x:v>0.0075</x:v>
      </x:c>
      <x:c r="U17" s="25" t="n">
        <x:f>VLOOKUP(K17,$F$25:$G$29,2,FALSE)</x:f>
        <x:v>40</x:v>
      </x:c>
      <x:c r="V17" s="29" t="n">
        <x:f>T17*U17</x:f>
        <x:v>0.3</x:v>
      </x:c>
    </x:row>
    <x:row r="18">
      <x:c r="A18" s="20" t="n">
        <x:v>13</x:v>
      </x:c>
      <x:c r="B18" s="19" t="str">
        <x:v>Q</x:v>
      </x:c>
      <x:c r="C18" s="19" t="str">
        <x:v>J</x:v>
      </x:c>
      <x:c r="D18" s="19" t="str">
        <x:v>A</x:v>
      </x:c>
      <x:c r="F18" s="18" t="str">
        <x:v>WK</x:v>
      </x:c>
      <x:c r="G18" s="18" t="n">
        <x:f>G$6+G8</x:f>
        <x:v>3</x:v>
      </x:c>
      <x:c r="H18" s="18" t="n">
        <x:f>H$6+H8</x:f>
        <x:v>5</x:v>
      </x:c>
      <x:c r="I18" s="18" t="n">
        <x:f>I$6+I8</x:f>
        <x:v>4</x:v>
      </x:c>
      <x:c r="K18" s="18" t="str">
        <x:v>Q</x:v>
      </x:c>
      <x:c r="L18" s="18" t="n">
        <x:v>3</x:v>
      </x:c>
      <x:c r="M18" s="18" t="str">
        <x:f>"W"&amp;K18</x:f>
        <x:v>WQ</x:v>
      </x:c>
      <x:c r="N18" s="18" t="str">
        <x:f>"W"&amp;K18</x:f>
        <x:v>WQ</x:v>
      </x:c>
      <x:c r="O18" s="18" t="str">
        <x:f>"W"&amp;K18</x:f>
        <x:v>WQ</x:v>
      </x:c>
      <x:c r="P18" s="18" t="n">
        <x:f>VLOOKUP(M18,$F$16:$I$21,2,FALSE)</x:f>
        <x:v>4</x:v>
      </x:c>
      <x:c r="Q18" s="18" t="n">
        <x:f>VLOOKUP(N18,$F$16:$I$21,3,FALSE)</x:f>
        <x:v>6</x:v>
      </x:c>
      <x:c r="R18" s="18" t="n">
        <x:f>VLOOKUP(O18,$F$16:$I$21,4,FALSE)</x:f>
        <x:v>6</x:v>
      </x:c>
      <x:c r="S18" s="25" t="n">
        <x:f>PRODUCT(P18:R18)</x:f>
        <x:v>144</x:v>
      </x:c>
      <x:c r="T18" s="29" t="n">
        <x:f>S18/$L$5</x:f>
        <x:v>0.018</x:v>
      </x:c>
      <x:c r="U18" s="25" t="n">
        <x:f>VLOOKUP(K18,$F$25:$G$29,2,FALSE)</x:f>
        <x:v>15</x:v>
      </x:c>
      <x:c r="V18" s="29" t="n">
        <x:f>T18*U18</x:f>
        <x:v>0.26999999999999996</x:v>
      </x:c>
    </x:row>
    <x:row r="19">
      <x:c r="A19" s="20" t="n">
        <x:v>14</x:v>
      </x:c>
      <x:c r="B19" s="19" t="str">
        <x:v>K</x:v>
      </x:c>
      <x:c r="C19" s="19" t="str">
        <x:v>K</x:v>
      </x:c>
      <x:c r="D19" s="19" t="str">
        <x:v>K</x:v>
      </x:c>
      <x:c r="F19" s="18" t="str">
        <x:v>WQ</x:v>
      </x:c>
      <x:c r="G19" s="18" t="n">
        <x:f>G$6+G9</x:f>
        <x:v>4</x:v>
      </x:c>
      <x:c r="H19" s="18" t="n">
        <x:f>H$6+H9</x:f>
        <x:v>6</x:v>
      </x:c>
      <x:c r="I19" s="18" t="n">
        <x:f>I$6+I9</x:f>
        <x:v>6</x:v>
      </x:c>
      <x:c r="K19" s="18" t="str">
        <x:v>J</x:v>
      </x:c>
      <x:c r="L19" s="18" t="n">
        <x:v>3</x:v>
      </x:c>
      <x:c r="M19" s="18" t="str">
        <x:f>"W"&amp;K19</x:f>
        <x:v>WJ</x:v>
      </x:c>
      <x:c r="N19" s="18" t="str">
        <x:f>"W"&amp;K19</x:f>
        <x:v>WJ</x:v>
      </x:c>
      <x:c r="O19" s="18" t="str">
        <x:f>"W"&amp;K19</x:f>
        <x:v>WJ</x:v>
      </x:c>
      <x:c r="P19" s="18" t="n">
        <x:f>VLOOKUP(M19,$F$16:$I$21,2,FALSE)</x:f>
        <x:v>6</x:v>
      </x:c>
      <x:c r="Q19" s="18" t="n">
        <x:f>VLOOKUP(N19,$F$16:$I$21,3,FALSE)</x:f>
        <x:v>6</x:v>
      </x:c>
      <x:c r="R19" s="18" t="n">
        <x:f>VLOOKUP(O19,$F$16:$I$21,4,FALSE)</x:f>
        <x:v>8</x:v>
      </x:c>
      <x:c r="S19" s="25" t="n">
        <x:f>PRODUCT(P19:R19)</x:f>
        <x:v>288</x:v>
      </x:c>
      <x:c r="T19" s="29" t="n">
        <x:f>S19/$L$5</x:f>
        <x:v>0.036</x:v>
      </x:c>
      <x:c r="U19" s="25" t="n">
        <x:f>VLOOKUP(K19,$F$25:$G$29,2,FALSE)</x:f>
        <x:v>6</x:v>
      </x:c>
      <x:c r="V19" s="29" t="n">
        <x:f>T19*U19</x:f>
        <x:v>0.21599999999999997</x:v>
      </x:c>
    </x:row>
    <x:row r="20">
      <x:c r="A20" s="20" t="n">
        <x:v>15</x:v>
      </x:c>
      <x:c r="B20" s="19" t="str">
        <x:v>K</x:v>
      </x:c>
      <x:c r="C20" s="19" t="str">
        <x:v>W</x:v>
      </x:c>
      <x:c r="D20" s="19" t="str">
        <x:v>W</x:v>
      </x:c>
      <x:c r="F20" s="18" t="str">
        <x:v>WJ</x:v>
      </x:c>
      <x:c r="G20" s="18" t="n">
        <x:f>G$6+G10</x:f>
        <x:v>6</x:v>
      </x:c>
      <x:c r="H20" s="18" t="n">
        <x:f>H$6+H10</x:f>
        <x:v>6</x:v>
      </x:c>
      <x:c r="I20" s="18" t="n">
        <x:f>I$6+I10</x:f>
        <x:v>8</x:v>
      </x:c>
      <x:c r="K20" s="18" t="str">
        <x:v>10</x:v>
      </x:c>
      <x:c r="L20" s="18" t="n">
        <x:v>3</x:v>
      </x:c>
      <x:c r="M20" s="18" t="str">
        <x:f>"W"&amp;K20</x:f>
        <x:v>W10</x:v>
      </x:c>
      <x:c r="N20" s="18" t="str">
        <x:f>"W"&amp;K20</x:f>
        <x:v>W10</x:v>
      </x:c>
      <x:c r="O20" s="18" t="str">
        <x:f>"W"&amp;K20</x:f>
        <x:v>W10</x:v>
      </x:c>
      <x:c r="P20" s="18" t="n">
        <x:f>VLOOKUP(M20,$F$16:$I$21,2,FALSE)</x:f>
        <x:v>5</x:v>
      </x:c>
      <x:c r="Q20" s="18" t="n">
        <x:f>VLOOKUP(N20,$F$16:$I$21,3,FALSE)</x:f>
        <x:v>8</x:v>
      </x:c>
      <x:c r="R20" s="18" t="n">
        <x:f>VLOOKUP(O20,$F$16:$I$21,4,FALSE)</x:f>
        <x:v>7</x:v>
      </x:c>
      <x:c r="S20" s="25" t="n">
        <x:f>PRODUCT(P20:R20)</x:f>
        <x:v>280</x:v>
      </x:c>
      <x:c r="T20" s="29" t="n">
        <x:f>S20/$L$5</x:f>
        <x:v>0.035</x:v>
      </x:c>
      <x:c r="U20" s="25" t="n">
        <x:f>VLOOKUP(K20,$F$25:$G$29,2,FALSE)</x:f>
        <x:v>2</x:v>
      </x:c>
      <x:c r="V20" s="29" t="n">
        <x:f>T20*U20</x:f>
        <x:v>0.07</x:v>
      </x:c>
    </x:row>
    <x:row r="21">
      <x:c r="A21" s="20" t="n">
        <x:v>16</x:v>
      </x:c>
      <x:c r="B21" s="19" t="str">
        <x:v>Q</x:v>
      </x:c>
      <x:c r="C21" s="19" t="str">
        <x:v>J</x:v>
      </x:c>
      <x:c r="D21" s="19" t="str">
        <x:v>10</x:v>
      </x:c>
      <x:c r="F21" s="18" t="str">
        <x:v>W10</x:v>
      </x:c>
      <x:c r="G21" s="18" t="n">
        <x:f>G$6+G11</x:f>
        <x:v>5</x:v>
      </x:c>
      <x:c r="H21" s="18" t="n">
        <x:f>H$6+H11</x:f>
        <x:v>8</x:v>
      </x:c>
      <x:c r="I21" s="18" t="n">
        <x:f>I$6+I11</x:f>
        <x:v>7</x:v>
      </x:c>
      <x:c r="K21" s="35" t="str">
        <x:v>Total</x:v>
      </x:c>
      <x:c r="L21" s="35"/>
      <x:c r="M21" s="35"/>
      <x:c r="N21" s="35"/>
      <x:c r="O21" s="35"/>
      <x:c r="P21" s="35"/>
      <x:c r="Q21" s="35"/>
      <x:c r="R21" s="35"/>
      <x:c r="S21" s="36" t="n">
        <x:f>SUM(S16:S20)</x:f>
        <x:v>790</x:v>
      </x:c>
      <x:c r="T21" s="37" t="n">
        <x:f>SUM(T16:T20)</x:f>
        <x:v>0.09875</x:v>
      </x:c>
      <x:c r="U21" s="35"/>
      <x:c r="V21" s="37" t="n">
        <x:f>SUM(V16:V20)</x:f>
        <x:v>0.9684999999999999</x:v>
      </x:c>
    </x:row>
    <x:row r="22">
      <x:c r="A22" s="20" t="n">
        <x:v>17</x:v>
      </x:c>
      <x:c r="B22" s="19" t="str">
        <x:v>A</x:v>
      </x:c>
      <x:c r="C22" s="19" t="str">
        <x:v>10</x:v>
      </x:c>
      <x:c r="D22" s="19" t="str">
        <x:v>J</x:v>
      </x:c>
    </x:row>
    <x:row r="23">
      <x:c r="A23" s="20" t="n">
        <x:v>18</x:v>
      </x:c>
      <x:c r="B23" s="19" t="str">
        <x:v>10</x:v>
      </x:c>
      <x:c r="C23" s="19" t="str">
        <x:v>A</x:v>
      </x:c>
      <x:c r="D23" s="19" t="str">
        <x:v>J</x:v>
      </x:c>
    </x:row>
    <x:row r="24">
      <x:c r="A24" s="20" t="n">
        <x:v>19</x:v>
      </x:c>
      <x:c r="B24" s="19" t="str">
        <x:v>J</x:v>
      </x:c>
      <x:c r="C24" s="19" t="str">
        <x:v>10</x:v>
      </x:c>
      <x:c r="D24" s="19" t="str">
        <x:v>Q</x:v>
      </x:c>
      <x:c r="F24" s="16" t="str">
        <x:v>得分表</x:v>
      </x:c>
      <x:c r="G24" s="16" t="str">
        <x:v>得分表</x:v>
      </x:c>
    </x:row>
    <x:row r="25">
      <x:c r="A25" s="20" t="n">
        <x:v>20</x:v>
      </x:c>
      <x:c r="B25" s="19" t="str">
        <x:v>J</x:v>
      </x:c>
      <x:c r="C25" s="19" t="str">
        <x:v>Q</x:v>
      </x:c>
      <x:c r="D25" s="19" t="str">
        <x:v>Q</x:v>
      </x:c>
      <x:c r="F25" s="18" t="str">
        <x:v>A</x:v>
      </x:c>
      <x:c r="G25" s="25" t="n">
        <x:v>50</x:v>
      </x:c>
    </x:row>
    <x:row r="26">
      <x:c r="F26" s="18" t="str">
        <x:v>K</x:v>
      </x:c>
      <x:c r="G26" s="25" t="n">
        <x:v>40</x:v>
      </x:c>
    </x:row>
    <x:row r="27">
      <x:c r="F27" s="18" t="str">
        <x:v>Q</x:v>
      </x:c>
      <x:c r="G27" s="25" t="n">
        <x:v>15</x:v>
      </x:c>
    </x:row>
    <x:row r="28">
      <x:c r="F28" s="18" t="str">
        <x:v>J</x:v>
      </x:c>
      <x:c r="G28" s="25" t="n">
        <x:v>6</x:v>
      </x:c>
    </x:row>
    <x:row r="29">
      <x:c r="F29" s="18" t="str">
        <x:v>10</x:v>
      </x:c>
      <x:c r="G29" s="25" t="n">
        <x:v>2</x:v>
      </x:c>
    </x:row>
  </x:sheetData>
  <x:mergeCells>
    <x:mergeCell ref="A1:Y1"/>
    <x:mergeCell ref="A2:Y2"/>
    <x:mergeCell ref="A4:D4"/>
    <x:mergeCell ref="F4:I4"/>
    <x:mergeCell ref="F15:I15"/>
    <x:mergeCell ref="F24:G24"/>
    <x:mergeCell ref="K4:L4"/>
    <x:mergeCell ref="K14:V14"/>
    <x:mergeCell ref="N4:R4"/>
    <x:mergeCell ref="N11:V13"/>
  </x:mergeCells>
  <x:pageMargins left="0.7" right="0.7" top="0.75" bottom="0.75" header="0.3" footer="0.3"/>
</x:worksheet>
</file>