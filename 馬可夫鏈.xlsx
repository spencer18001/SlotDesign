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pace\Obsidian\SlotDesign\"/>
    </mc:Choice>
  </mc:AlternateContent>
  <bookViews>
    <workbookView xWindow="0" yWindow="0" windowWidth="21570" windowHeight="11445"/>
  </bookViews>
  <sheets>
    <sheet name="猜拳範例" sheetId="1" r:id="rId1"/>
    <sheet name="計算理論" sheetId="2" r:id="rId2"/>
  </sheets>
  <calcPr calcId="162913"/>
</workbook>
</file>

<file path=xl/calcChain.xml><?xml version="1.0" encoding="utf-8"?>
<calcChain xmlns="http://schemas.openxmlformats.org/spreadsheetml/2006/main">
  <c r="D14" i="1" l="1"/>
  <c r="C14" i="1"/>
  <c r="B14" i="1"/>
  <c r="D13" i="1"/>
  <c r="C13" i="1"/>
  <c r="B13" i="1"/>
  <c r="J12" i="1"/>
  <c r="D12" i="1"/>
  <c r="D18" i="1" s="1"/>
  <c r="C12" i="1"/>
  <c r="C18" i="1" s="1"/>
  <c r="B12" i="1"/>
  <c r="B7" i="1"/>
  <c r="G13" i="1" l="1"/>
  <c r="B18" i="1"/>
  <c r="I13" i="1"/>
  <c r="H13" i="1"/>
  <c r="J13" i="1" l="1"/>
  <c r="H14" i="1"/>
  <c r="G14" i="1"/>
  <c r="I14" i="1"/>
  <c r="J14" i="1" l="1"/>
  <c r="H15" i="1"/>
  <c r="I15" i="1"/>
  <c r="G15" i="1"/>
  <c r="J15" i="1" l="1"/>
  <c r="H16" i="1"/>
  <c r="H20" i="1" s="1"/>
  <c r="I16" i="1"/>
  <c r="I20" i="1" s="1"/>
  <c r="G16" i="1"/>
  <c r="J16" i="1" l="1"/>
  <c r="G20" i="1"/>
</calcChain>
</file>

<file path=xl/sharedStrings.xml><?xml version="1.0" encoding="utf-8"?>
<sst xmlns="http://schemas.openxmlformats.org/spreadsheetml/2006/main" count="86" uniqueCount="64">
  <si>
    <t>馬可夫鏈 Markov Chain - 猜拳範例</t>
  </si>
  <si>
    <t>Source: https://ezslotdesign.com/markovchain/</t>
  </si>
  <si>
    <t>甲的固定出拳機率</t>
  </si>
  <si>
    <t>乙的策略</t>
  </si>
  <si>
    <t>狀態</t>
  </si>
  <si>
    <t>剪刀 S</t>
  </si>
  <si>
    <t>石頭 R</t>
  </si>
  <si>
    <t>布 P</t>
  </si>
  <si>
    <t>規則</t>
  </si>
  <si>
    <t>上一場贏</t>
  </si>
  <si>
    <t>下一把繼續出相同的拳</t>
  </si>
  <si>
    <t>機率</t>
  </si>
  <si>
    <t>上一場輸或平手</t>
  </si>
  <si>
    <t>下一把改出另外兩種拳之一，各 50%</t>
  </si>
  <si>
    <t>Check Sum</t>
  </si>
  <si>
    <t>矩陣方向</t>
  </si>
  <si>
    <t>M[i,j]</t>
  </si>
  <si>
    <t>P(next = i | current = j)，從欄 j 轉到列 i</t>
  </si>
  <si>
    <t>狀態順序</t>
  </si>
  <si>
    <t>[S, R, P]</t>
  </si>
  <si>
    <t>剪刀、石頭、布</t>
  </si>
  <si>
    <t>轉移矩陣 M[to,from]</t>
  </si>
  <si>
    <t>狀態分布：第 1 把到第 5 把</t>
  </si>
  <si>
    <t>To \ From</t>
  </si>
  <si>
    <t>把數</t>
  </si>
  <si>
    <t>說明</t>
  </si>
  <si>
    <t>v2 = M × v1</t>
  </si>
  <si>
    <t>v3 = M × v2</t>
  </si>
  <si>
    <t>v4 = M × v3</t>
  </si>
  <si>
    <t>每欄加總檢查</t>
  </si>
  <si>
    <t>v5 = M^4 × v1</t>
  </si>
  <si>
    <t>From</t>
  </si>
  <si>
    <t>Column Sum</t>
  </si>
  <si>
    <t>第五把結果摘要</t>
  </si>
  <si>
    <t>公式</t>
  </si>
  <si>
    <t>直覺</t>
  </si>
  <si>
    <t>每一輪都根據上一輪分布再轉移，不是把單輪機率直接乘 5。</t>
  </si>
  <si>
    <t>馬可夫鏈計算理論</t>
  </si>
  <si>
    <t>核心概念</t>
  </si>
  <si>
    <t>下一個狀態只取決於目前狀態，不取決於更早以前的歷史。</t>
  </si>
  <si>
    <t>先定義足夠描述下一輪機率的狀態，例如目前有幾顆 Sticky Wild、目前收集到幾個圖案。</t>
  </si>
  <si>
    <t>轉移矩陣</t>
  </si>
  <si>
    <t>本 workbook 採 column-stochastic：M[i,j] = P(next=i | current=j)，也就是從欄 j 轉到列 i。</t>
  </si>
  <si>
    <t>欄加總</t>
  </si>
  <si>
    <t>每一欄都是目前狀態 j 下，下一輪所有可能狀態的機率分布，所以每一欄加總為 1。</t>
  </si>
  <si>
    <t>狀態向量</t>
  </si>
  <si>
    <t>v = [P(state 1), P(state 2), ...]^T。若目前必定在某狀態，該狀態為 1，其餘為 0。</t>
  </si>
  <si>
    <t>推進公式</t>
  </si>
  <si>
    <t>v_next = M × v_current；跑 n 次轉移後，vn = M^n × v0。</t>
  </si>
  <si>
    <t>文章例子</t>
  </si>
  <si>
    <t>乙第一把出石頭，所以 v1=[0,1,0]^T。第五把距離第一把經過 4 次轉移，因此 v5=M^4×v1。</t>
  </si>
  <si>
    <t>與二項分配差異</t>
  </si>
  <si>
    <t>二項分配適合單輪獨立事件；馬可夫鏈適合多輪狀態會延續、下一輪受目前狀態影響的特色。</t>
  </si>
  <si>
    <t>Slot 用法</t>
  </si>
  <si>
    <t>若狀態 i 有對應平均得分 reward[i]，則某輪期望值可以用 reward^T × v_t。</t>
  </si>
  <si>
    <t>Feature EV</t>
  </si>
  <si>
    <t>整個 feature 的期望值可以把各輪 reward^T × v_t 加總；有終止狀態時可把終止狀態放入矩陣。</t>
  </si>
  <si>
    <t>注意</t>
  </si>
  <si>
    <t>如果知道目前狀態後還需要更早以前的資訊，代表狀態定義不完整，需要把更多資訊納入 state。</t>
  </si>
  <si>
    <t>銜接</t>
  </si>
  <si>
    <t>單輪獨立事件：二項分配；多輪狀態延續：馬可夫鏈。</t>
  </si>
  <si>
    <t>Excel 方向</t>
  </si>
  <si>
    <t>猜拳範例的矩陣左側是 To，上方是 From；分布表橫向展示，但公式仍等價於 v_next=M×v_current。</t>
  </si>
  <si>
    <t>乙第一把出石頭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</si>
</sst>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0.0000%"/>
  </numFmts>
  <fonts count="8">
    <font>
      <sz val="11"/>
      <name val="Carlito"/>
    </font>
    <font>
      <b/>
      <sz val="14"/>
      <color rgb="FFFFFFFF"/>
      <name val="Aptos"/>
    </font>
    <font>
      <i/>
      <sz val="11"/>
      <color rgb="FF374151"/>
      <name val="Aptos"/>
    </font>
    <font>
      <sz val="11"/>
      <name val="Aptos"/>
    </font>
    <font>
      <b/>
      <sz val="11"/>
      <name val="Aptos"/>
    </font>
    <font>
      <sz val="11"/>
      <name val="Carlito"/>
    </font>
    <font>
      <sz val="9"/>
      <name val="細明體"/>
      <family val="3"/>
      <charset val="136"/>
    </font>
    <font>
      <sz val="11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F3F8F2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9B7A8"/>
      </left>
      <right style="thin">
        <color rgb="FFA9B7A8"/>
      </right>
      <top style="thin">
        <color rgb="FFA9B7A8"/>
      </top>
      <bottom style="thin">
        <color rgb="FFA9B7A8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3" fillId="0" borderId="0" xfId="1" applyNumberFormat="1" applyFont="1" applyFill="1" applyBorder="1"/>
    <xf numFmtId="0" fontId="4" fillId="4" borderId="1" xfId="1" applyNumberFormat="1" applyFont="1" applyFill="1" applyBorder="1" applyAlignment="1">
      <alignment horizontal="center" vertical="center"/>
    </xf>
    <xf numFmtId="0" fontId="4" fillId="4" borderId="1" xfId="1" applyNumberFormat="1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vertical="center" wrapText="1"/>
    </xf>
    <xf numFmtId="10" fontId="3" fillId="5" borderId="1" xfId="1" applyNumberFormat="1" applyFont="1" applyFill="1" applyBorder="1" applyAlignment="1">
      <alignment vertical="center"/>
    </xf>
    <xf numFmtId="0" fontId="4" fillId="3" borderId="1" xfId="1" applyNumberFormat="1" applyFont="1" applyFill="1" applyBorder="1" applyAlignment="1">
      <alignment vertical="center"/>
    </xf>
    <xf numFmtId="10" fontId="3" fillId="0" borderId="1" xfId="1" applyNumberFormat="1" applyFont="1" applyFill="1" applyBorder="1" applyAlignment="1">
      <alignment vertical="center"/>
    </xf>
    <xf numFmtId="177" fontId="3" fillId="5" borderId="1" xfId="1" applyNumberFormat="1" applyFont="1" applyFill="1" applyBorder="1" applyAlignment="1">
      <alignment vertical="center"/>
    </xf>
    <xf numFmtId="177" fontId="3" fillId="0" borderId="1" xfId="1" applyNumberFormat="1" applyFont="1" applyFill="1" applyBorder="1" applyAlignment="1">
      <alignment vertical="center"/>
    </xf>
    <xf numFmtId="176" fontId="3" fillId="0" borderId="1" xfId="1" applyNumberFormat="1" applyFont="1" applyFill="1" applyBorder="1" applyAlignment="1">
      <alignment vertical="center"/>
    </xf>
    <xf numFmtId="0" fontId="4" fillId="4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vertical="center" wrapText="1"/>
    </xf>
    <xf numFmtId="0" fontId="1" fillId="2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/>
    <xf numFmtId="0" fontId="7" fillId="0" borderId="1" xfId="1" applyNumberFormat="1" applyFont="1" applyFill="1" applyBorder="1" applyAlignment="1">
      <alignment vertical="center" wrapText="1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showGridLines="0" tabSelected="1" workbookViewId="0">
      <selection activeCell="G30" sqref="G30"/>
    </sheetView>
  </sheetViews>
  <sheetFormatPr defaultRowHeight="14.25"/>
  <cols>
    <col min="1" max="4" width="15" customWidth="1"/>
    <col min="5" max="5" width="4" customWidth="1"/>
    <col min="6" max="6" width="18" customWidth="1"/>
    <col min="7" max="11" width="16" customWidth="1"/>
  </cols>
  <sheetData>
    <row r="1" spans="1:11" ht="16.7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>
      <c r="A4" s="12" t="s">
        <v>2</v>
      </c>
      <c r="B4" s="12"/>
      <c r="C4" s="12"/>
      <c r="D4" s="12"/>
      <c r="E4" s="1"/>
      <c r="F4" s="12" t="s">
        <v>3</v>
      </c>
      <c r="G4" s="12"/>
      <c r="H4" s="12"/>
      <c r="I4" s="12"/>
      <c r="J4" s="12"/>
      <c r="K4" s="12"/>
    </row>
    <row r="5" spans="1:11" ht="15" customHeight="1">
      <c r="A5" s="2" t="s">
        <v>4</v>
      </c>
      <c r="B5" s="2" t="s">
        <v>5</v>
      </c>
      <c r="C5" s="2" t="s">
        <v>6</v>
      </c>
      <c r="D5" s="2" t="s">
        <v>7</v>
      </c>
      <c r="E5" s="1"/>
      <c r="F5" s="3" t="s">
        <v>8</v>
      </c>
      <c r="G5" s="4" t="s">
        <v>9</v>
      </c>
      <c r="H5" s="13" t="s">
        <v>10</v>
      </c>
      <c r="I5" s="13"/>
      <c r="J5" s="13"/>
      <c r="K5" s="13"/>
    </row>
    <row r="6" spans="1:11" ht="15" customHeight="1">
      <c r="A6" s="4" t="s">
        <v>11</v>
      </c>
      <c r="B6" s="6">
        <v>0.3</v>
      </c>
      <c r="C6" s="6">
        <v>0.33</v>
      </c>
      <c r="D6" s="6">
        <v>0.37</v>
      </c>
      <c r="E6" s="1"/>
      <c r="F6" s="3" t="s">
        <v>8</v>
      </c>
      <c r="G6" s="4" t="s">
        <v>12</v>
      </c>
      <c r="H6" s="13" t="s">
        <v>13</v>
      </c>
      <c r="I6" s="13"/>
      <c r="J6" s="13"/>
      <c r="K6" s="13"/>
    </row>
    <row r="7" spans="1:11" ht="15" customHeight="1">
      <c r="A7" s="7" t="s">
        <v>14</v>
      </c>
      <c r="B7" s="8">
        <f>SUM(B6:D6)</f>
        <v>1</v>
      </c>
      <c r="C7" s="8"/>
      <c r="D7" s="8"/>
      <c r="E7" s="1"/>
      <c r="F7" s="3" t="s">
        <v>15</v>
      </c>
      <c r="G7" s="4" t="s">
        <v>16</v>
      </c>
      <c r="H7" s="13" t="s">
        <v>17</v>
      </c>
      <c r="I7" s="13"/>
      <c r="J7" s="13"/>
      <c r="K7" s="13"/>
    </row>
    <row r="8" spans="1:11" ht="15" customHeight="1">
      <c r="A8" s="1"/>
      <c r="B8" s="1"/>
      <c r="C8" s="1"/>
      <c r="D8" s="1"/>
      <c r="E8" s="1"/>
      <c r="F8" s="3" t="s">
        <v>18</v>
      </c>
      <c r="G8" s="4" t="s">
        <v>19</v>
      </c>
      <c r="H8" s="13" t="s">
        <v>20</v>
      </c>
      <c r="I8" s="13"/>
      <c r="J8" s="13"/>
      <c r="K8" s="13"/>
    </row>
    <row r="9" spans="1:11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 customHeight="1">
      <c r="A10" s="12" t="s">
        <v>21</v>
      </c>
      <c r="B10" s="12"/>
      <c r="C10" s="12"/>
      <c r="D10" s="12"/>
      <c r="E10" s="1"/>
      <c r="F10" s="12" t="s">
        <v>22</v>
      </c>
      <c r="G10" s="12"/>
      <c r="H10" s="12"/>
      <c r="I10" s="12"/>
      <c r="J10" s="12"/>
      <c r="K10" s="12"/>
    </row>
    <row r="11" spans="1:11" ht="15" customHeight="1">
      <c r="A11" s="2" t="s">
        <v>23</v>
      </c>
      <c r="B11" s="2" t="s">
        <v>5</v>
      </c>
      <c r="C11" s="2" t="s">
        <v>6</v>
      </c>
      <c r="D11" s="2" t="s">
        <v>7</v>
      </c>
      <c r="E11" s="1"/>
      <c r="F11" s="2" t="s">
        <v>24</v>
      </c>
      <c r="G11" s="2" t="s">
        <v>5</v>
      </c>
      <c r="H11" s="2" t="s">
        <v>6</v>
      </c>
      <c r="I11" s="2" t="s">
        <v>7</v>
      </c>
      <c r="J11" s="2" t="s">
        <v>14</v>
      </c>
      <c r="K11" s="2" t="s">
        <v>25</v>
      </c>
    </row>
    <row r="12" spans="1:11" ht="15" customHeight="1">
      <c r="A12" s="2" t="s">
        <v>5</v>
      </c>
      <c r="B12" s="8">
        <f>$D$6</f>
        <v>0.37</v>
      </c>
      <c r="C12" s="8">
        <f>(1-$B$6)/2</f>
        <v>0.35</v>
      </c>
      <c r="D12" s="8">
        <f>(1-$C$6)/2</f>
        <v>0.33499999999999996</v>
      </c>
      <c r="E12" s="1"/>
      <c r="F12" s="4">
        <v>1</v>
      </c>
      <c r="G12" s="9">
        <v>0</v>
      </c>
      <c r="H12" s="9">
        <v>1</v>
      </c>
      <c r="I12" s="9">
        <v>0</v>
      </c>
      <c r="J12" s="10">
        <f>SUM(G12:I12)</f>
        <v>1</v>
      </c>
      <c r="K12" s="16" t="s">
        <v>63</v>
      </c>
    </row>
    <row r="13" spans="1:11" ht="15" customHeight="1">
      <c r="A13" s="2" t="s">
        <v>6</v>
      </c>
      <c r="B13" s="8">
        <f>(1-$D$6)/2</f>
        <v>0.315</v>
      </c>
      <c r="C13" s="8">
        <f>$B$6</f>
        <v>0.3</v>
      </c>
      <c r="D13" s="8">
        <f>(1-$C$6)/2</f>
        <v>0.33499999999999996</v>
      </c>
      <c r="E13" s="1"/>
      <c r="F13" s="4">
        <v>2</v>
      </c>
      <c r="G13" s="10">
        <f>SUMPRODUCT($B$12:$D$12,G12:I12)</f>
        <v>0.35</v>
      </c>
      <c r="H13" s="10">
        <f>SUMPRODUCT($B$13:$D$13,G12:I12)</f>
        <v>0.3</v>
      </c>
      <c r="I13" s="10">
        <f>SUMPRODUCT($B$14:$D$14,G12:I12)</f>
        <v>0.35</v>
      </c>
      <c r="J13" s="10">
        <f>SUM(G13:I13)</f>
        <v>0.99999999999999989</v>
      </c>
      <c r="K13" s="5" t="s">
        <v>26</v>
      </c>
    </row>
    <row r="14" spans="1:11" ht="15" customHeight="1">
      <c r="A14" s="2" t="s">
        <v>7</v>
      </c>
      <c r="B14" s="8">
        <f>(1-$D$6)/2</f>
        <v>0.315</v>
      </c>
      <c r="C14" s="8">
        <f>(1-$B$6)/2</f>
        <v>0.35</v>
      </c>
      <c r="D14" s="8">
        <f>$C$6</f>
        <v>0.33</v>
      </c>
      <c r="E14" s="1"/>
      <c r="F14" s="4">
        <v>3</v>
      </c>
      <c r="G14" s="10">
        <f>SUMPRODUCT($B$12:$D$12,G13:I13)</f>
        <v>0.35174999999999995</v>
      </c>
      <c r="H14" s="10">
        <f>SUMPRODUCT($B$13:$D$13,G13:I13)</f>
        <v>0.31749999999999995</v>
      </c>
      <c r="I14" s="10">
        <f>SUMPRODUCT($B$14:$D$14,G13:I13)</f>
        <v>0.33074999999999999</v>
      </c>
      <c r="J14" s="10">
        <f>SUM(G14:I14)</f>
        <v>0.99999999999999989</v>
      </c>
      <c r="K14" s="5" t="s">
        <v>27</v>
      </c>
    </row>
    <row r="15" spans="1:11" ht="15" customHeight="1">
      <c r="A15" s="1"/>
      <c r="B15" s="1"/>
      <c r="C15" s="1"/>
      <c r="D15" s="1"/>
      <c r="E15" s="1"/>
      <c r="F15" s="4">
        <v>4</v>
      </c>
      <c r="G15" s="10">
        <f>SUMPRODUCT($B$12:$D$12,G14:I14)</f>
        <v>0.35207374999999996</v>
      </c>
      <c r="H15" s="10">
        <f>SUMPRODUCT($B$13:$D$13,G14:I14)</f>
        <v>0.31685249999999998</v>
      </c>
      <c r="I15" s="10">
        <f>SUMPRODUCT($B$14:$D$14,G14:I14)</f>
        <v>0.33107374999999994</v>
      </c>
      <c r="J15" s="10">
        <f>SUM(G15:I15)</f>
        <v>0.99999999999999989</v>
      </c>
      <c r="K15" s="5" t="s">
        <v>28</v>
      </c>
    </row>
    <row r="16" spans="1:11" ht="15" customHeight="1">
      <c r="A16" s="12" t="s">
        <v>29</v>
      </c>
      <c r="B16" s="12"/>
      <c r="C16" s="12"/>
      <c r="D16" s="12"/>
      <c r="E16" s="1"/>
      <c r="F16" s="4">
        <v>5</v>
      </c>
      <c r="G16" s="10">
        <f>SUMPRODUCT($B$12:$D$12,G15:I15)</f>
        <v>0.35207536874999995</v>
      </c>
      <c r="H16" s="10">
        <f>SUMPRODUCT($B$13:$D$13,G15:I15)</f>
        <v>0.31686868749999997</v>
      </c>
      <c r="I16" s="10">
        <f>SUMPRODUCT($B$14:$D$14,G15:I15)</f>
        <v>0.33105594374999991</v>
      </c>
      <c r="J16" s="10">
        <f>SUM(G16:I16)</f>
        <v>0.99999999999999989</v>
      </c>
      <c r="K16" s="5" t="s">
        <v>30</v>
      </c>
    </row>
    <row r="17" spans="1:11" ht="15" customHeight="1">
      <c r="A17" s="2" t="s">
        <v>31</v>
      </c>
      <c r="B17" s="2" t="s">
        <v>5</v>
      </c>
      <c r="C17" s="2" t="s">
        <v>6</v>
      </c>
      <c r="D17" s="2" t="s">
        <v>7</v>
      </c>
      <c r="E17" s="1"/>
      <c r="F17" s="1"/>
      <c r="G17" s="1"/>
      <c r="H17" s="1"/>
      <c r="I17" s="1"/>
      <c r="J17" s="1"/>
      <c r="K17" s="1"/>
    </row>
    <row r="18" spans="1:11" ht="15" customHeight="1">
      <c r="A18" s="4" t="s">
        <v>32</v>
      </c>
      <c r="B18" s="11">
        <f>SUM(B12:B14)</f>
        <v>1</v>
      </c>
      <c r="C18" s="11">
        <f>SUM(C12:C14)</f>
        <v>0.99999999999999989</v>
      </c>
      <c r="D18" s="11">
        <f>SUM(D12:D14)</f>
        <v>1</v>
      </c>
      <c r="E18" s="1"/>
      <c r="F18" s="12" t="s">
        <v>33</v>
      </c>
      <c r="G18" s="12"/>
      <c r="H18" s="12"/>
      <c r="I18" s="12"/>
      <c r="J18" s="12"/>
      <c r="K18" s="12"/>
    </row>
    <row r="19" spans="1:11" ht="15" customHeight="1">
      <c r="A19" s="1"/>
      <c r="B19" s="1"/>
      <c r="C19" s="1"/>
      <c r="D19" s="1"/>
      <c r="E19" s="1"/>
      <c r="F19" s="2" t="s">
        <v>4</v>
      </c>
      <c r="G19" s="2" t="s">
        <v>5</v>
      </c>
      <c r="H19" s="2" t="s">
        <v>6</v>
      </c>
      <c r="I19" s="2" t="s">
        <v>7</v>
      </c>
      <c r="J19" s="4"/>
      <c r="K19" s="4"/>
    </row>
    <row r="20" spans="1:11" ht="15" customHeight="1">
      <c r="A20" s="1"/>
      <c r="B20" s="1"/>
      <c r="C20" s="1"/>
      <c r="D20" s="1"/>
      <c r="E20" s="1"/>
      <c r="F20" s="4" t="s">
        <v>11</v>
      </c>
      <c r="G20" s="10">
        <f>G16</f>
        <v>0.35207536874999995</v>
      </c>
      <c r="H20" s="10">
        <f>H16</f>
        <v>0.31686868749999997</v>
      </c>
      <c r="I20" s="10">
        <f>I16</f>
        <v>0.33105594374999991</v>
      </c>
      <c r="J20" s="4"/>
      <c r="K20" s="4"/>
    </row>
    <row r="21" spans="1:11" ht="15" customHeight="1">
      <c r="A21" s="1"/>
      <c r="B21" s="1"/>
      <c r="C21" s="1"/>
      <c r="D21" s="1"/>
      <c r="E21" s="1"/>
      <c r="F21" s="4" t="s">
        <v>34</v>
      </c>
      <c r="G21" s="13" t="s">
        <v>30</v>
      </c>
      <c r="H21" s="13"/>
      <c r="I21" s="13"/>
      <c r="J21" s="13"/>
      <c r="K21" s="13"/>
    </row>
    <row r="22" spans="1:11" ht="15" customHeight="1">
      <c r="A22" s="1"/>
      <c r="B22" s="1"/>
      <c r="C22" s="1"/>
      <c r="D22" s="1"/>
      <c r="E22" s="1"/>
      <c r="F22" s="4" t="s">
        <v>35</v>
      </c>
      <c r="G22" s="13" t="s">
        <v>36</v>
      </c>
      <c r="H22" s="13"/>
      <c r="I22" s="13"/>
      <c r="J22" s="13"/>
      <c r="K22" s="13"/>
    </row>
  </sheetData>
  <mergeCells count="14">
    <mergeCell ref="A10:D10"/>
    <mergeCell ref="A16:D16"/>
    <mergeCell ref="F10:K10"/>
    <mergeCell ref="A1:K1"/>
    <mergeCell ref="A2:K2"/>
    <mergeCell ref="A4:D4"/>
    <mergeCell ref="F4:K4"/>
    <mergeCell ref="H5:K5"/>
    <mergeCell ref="F18:K18"/>
    <mergeCell ref="G21:K21"/>
    <mergeCell ref="G22:K22"/>
    <mergeCell ref="H6:K6"/>
    <mergeCell ref="H7:K7"/>
    <mergeCell ref="H8:K8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showGridLines="0" workbookViewId="0">
      <selection sqref="A1:B1"/>
    </sheetView>
  </sheetViews>
  <sheetFormatPr defaultRowHeight="14.25"/>
  <cols>
    <col min="1" max="1" width="22" customWidth="1"/>
    <col min="2" max="2" width="95" customWidth="1"/>
  </cols>
  <sheetData>
    <row r="1" spans="1:2" ht="16.7" customHeight="1">
      <c r="A1" s="14" t="s">
        <v>37</v>
      </c>
      <c r="B1" s="14"/>
    </row>
    <row r="2" spans="1:2" ht="15" customHeight="1">
      <c r="A2" s="15" t="s">
        <v>1</v>
      </c>
      <c r="B2" s="15"/>
    </row>
    <row r="3" spans="1:2" ht="15" customHeight="1">
      <c r="A3" s="1"/>
      <c r="B3" s="1"/>
    </row>
    <row r="4" spans="1:2" ht="15" customHeight="1">
      <c r="A4" s="2" t="s">
        <v>38</v>
      </c>
      <c r="B4" s="5" t="s">
        <v>39</v>
      </c>
    </row>
    <row r="5" spans="1:2" ht="15" customHeight="1">
      <c r="A5" s="2" t="s">
        <v>4</v>
      </c>
      <c r="B5" s="5" t="s">
        <v>40</v>
      </c>
    </row>
    <row r="6" spans="1:2" ht="15" customHeight="1">
      <c r="A6" s="2" t="s">
        <v>41</v>
      </c>
      <c r="B6" s="5" t="s">
        <v>42</v>
      </c>
    </row>
    <row r="7" spans="1:2" ht="15" customHeight="1">
      <c r="A7" s="2" t="s">
        <v>43</v>
      </c>
      <c r="B7" s="5" t="s">
        <v>44</v>
      </c>
    </row>
    <row r="8" spans="1:2" ht="15" customHeight="1">
      <c r="A8" s="2" t="s">
        <v>45</v>
      </c>
      <c r="B8" s="5" t="s">
        <v>46</v>
      </c>
    </row>
    <row r="9" spans="1:2" ht="15" customHeight="1">
      <c r="A9" s="2" t="s">
        <v>47</v>
      </c>
      <c r="B9" s="5" t="s">
        <v>48</v>
      </c>
    </row>
    <row r="10" spans="1:2" ht="15" customHeight="1">
      <c r="A10" s="2" t="s">
        <v>49</v>
      </c>
      <c r="B10" s="5" t="s">
        <v>50</v>
      </c>
    </row>
    <row r="11" spans="1:2" ht="15" customHeight="1">
      <c r="A11" s="2" t="s">
        <v>51</v>
      </c>
      <c r="B11" s="5" t="s">
        <v>52</v>
      </c>
    </row>
    <row r="12" spans="1:2" ht="15" customHeight="1">
      <c r="A12" s="2" t="s">
        <v>53</v>
      </c>
      <c r="B12" s="5" t="s">
        <v>54</v>
      </c>
    </row>
    <row r="13" spans="1:2" ht="15" customHeight="1">
      <c r="A13" s="2" t="s">
        <v>55</v>
      </c>
      <c r="B13" s="5" t="s">
        <v>56</v>
      </c>
    </row>
    <row r="14" spans="1:2" ht="15" customHeight="1">
      <c r="A14" s="2" t="s">
        <v>57</v>
      </c>
      <c r="B14" s="5" t="s">
        <v>58</v>
      </c>
    </row>
    <row r="15" spans="1:2" ht="15" customHeight="1">
      <c r="A15" s="2" t="s">
        <v>59</v>
      </c>
      <c r="B15" s="5" t="s">
        <v>60</v>
      </c>
    </row>
    <row r="16" spans="1:2" ht="15" customHeight="1">
      <c r="A16" s="2" t="s">
        <v>61</v>
      </c>
      <c r="B16" s="5" t="s">
        <v>62</v>
      </c>
    </row>
  </sheetData>
  <mergeCells count="2">
    <mergeCell ref="A1:B1"/>
    <mergeCell ref="A2:B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猜拳範例</vt:lpstr>
      <vt:lpstr>計算理論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黃天宇</cp:lastModifiedBy>
  <dcterms:modified xsi:type="dcterms:W3CDTF">2026-07-23T09:41:20Z</dcterms:modified>
</cp:coreProperties>
</file>