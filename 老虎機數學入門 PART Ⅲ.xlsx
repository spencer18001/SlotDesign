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8fe8edc17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遊戲計算" sheetId="1" r:id="R614d5e651a8f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8">
    <x:font>
      <x:sz val="11"/>
      <x:name val="Carlito"/>
    </x:font>
    <x:font>
      <x:b/>
      <x:sz val="15"/>
      <x:color rgb="FFFFFFFF"/>
      <x:name val="Carlito"/>
    </x:font>
    <x:font>
      <x:sz val="11"/>
      <x:color rgb="FF215043"/>
      <x:name val="Carlito"/>
    </x:font>
    <x:font>
      <x:b/>
      <x:sz val="11"/>
      <x:color rgb="FFFFFFFF"/>
      <x:name val="Carlito"/>
    </x:font>
    <x:font>
      <x:b/>
      <x:sz val="11"/>
      <x:color rgb="FF12362F"/>
      <x:name val="Carlito"/>
    </x:font>
    <x:font>
      <x:b/>
      <x:sz val="11"/>
      <x:name val="Carlito"/>
    </x:font>
    <x:font>
      <x:b/>
      <x:sz val="15"/>
      <x:color rgb="FFFFFFFF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43D36"/>
      </x:patternFill>
    </x:fill>
    <x:fill>
      <x:patternFill patternType="solid">
        <x:fgColor rgb="FFE8F3EC"/>
      </x:patternFill>
    </x:fill>
    <x:fill>
      <x:patternFill patternType="solid">
        <x:fgColor rgb="FF2F6F5E"/>
      </x:patternFill>
    </x:fill>
    <x:fill>
      <x:patternFill patternType="solid">
        <x:fgColor rgb="FFCFE7D5"/>
      </x:patternFill>
    </x:fill>
  </x:fills>
  <x:borders count="3">
    <x:border/>
    <x:border>
      <x:left style="thin">
        <x:color rgb="FF89A997"/>
      </x:left>
      <x:right style="thin">
        <x:color rgb="FF89A997"/>
      </x:right>
      <x:top style="thin">
        <x:color rgb="FF89A997"/>
      </x:top>
      <x:bottom style="thin">
        <x:color rgb="FF89A997"/>
      </x:bottom>
    </x:border>
    <x:border>
      <x:left style="thin">
        <x:color rgb="FFAFC8BA"/>
      </x:left>
      <x:right style="thin">
        <x:color rgb="FFAFC8BA"/>
      </x:right>
      <x:top style="thin">
        <x:color rgb="FFAFC8BA"/>
      </x:top>
      <x:bottom style="thin">
        <x:color rgb="FFAFC8BA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b3a3b5cef440e" /><Relationship Type="http://schemas.openxmlformats.org/officeDocument/2006/relationships/theme" Target="/xl/theme/theme1.xml" Id="R03d755e62caa4082" /><Relationship Type="http://schemas.openxmlformats.org/officeDocument/2006/relationships/sharedStrings" Target="/xl/sharedStrings.xml" Id="R0b770d2457f344d1" /><Relationship Type="http://schemas.openxmlformats.org/officeDocument/2006/relationships/worksheet" Target="/xl/worksheets/sheet1.xml" Id="R614d5e651a8f46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0.380000114440918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24" hidden="0" customWidth="1"/>
    <x:col min="13" max="13" width="14" hidden="0" customWidth="1"/>
    <x:col min="14" max="14" width="13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25" t="str">
        <x:v>老虎機數學入門 PART III - 首輪有 Wild 的主遊戲 RTP</x:v>
      </x:c>
      <x:c r="B1" s="25" t="str">
        <x:v>老虎機數學入門 PART III - 首輪有 Wild 的主遊戲 RTP</x:v>
      </x:c>
      <x:c r="C1" s="25" t="str">
        <x:v>老虎機數學入門 PART III - 首輪有 Wild 的主遊戲 RTP</x:v>
      </x:c>
      <x:c r="D1" s="25" t="str">
        <x:v>老虎機數學入門 PART III - 首輪有 Wild 的主遊戲 RTP</x:v>
      </x:c>
      <x:c r="E1" s="25" t="str">
        <x:v>老虎機數學入門 PART III - 首輪有 Wild 的主遊戲 RTP</x:v>
      </x:c>
      <x:c r="F1" s="25" t="str">
        <x:v>老虎機數學入門 PART III - 首輪有 Wild 的主遊戲 RTP</x:v>
      </x:c>
      <x:c r="G1" s="25" t="str">
        <x:v>老虎機數學入門 PART III - 首輪有 Wild 的主遊戲 RTP</x:v>
      </x:c>
      <x:c r="H1" s="25" t="str">
        <x:v>老虎機數學入門 PART III - 首輪有 Wild 的主遊戲 RTP</x:v>
      </x:c>
      <x:c r="I1" s="25" t="str">
        <x:v>老虎機數學入門 PART III - 首輪有 Wild 的主遊戲 RTP</x:v>
      </x:c>
      <x:c r="J1" s="25" t="str">
        <x:v>老虎機數學入門 PART III - 首輪有 Wild 的主遊戲 RTP</x:v>
      </x:c>
      <x:c r="K1" s="25" t="str">
        <x:v>老虎機數學入門 PART III - 首輪有 Wild 的主遊戲 RTP</x:v>
      </x:c>
      <x:c r="L1" s="25" t="str">
        <x:v>老虎機數學入門 PART III - 首輪有 Wild 的主遊戲 RTP</x:v>
      </x:c>
      <x:c r="M1" s="25" t="str">
        <x:v>老虎機數學入門 PART III - 首輪有 Wild 的主遊戲 RTP</x:v>
      </x:c>
      <x:c r="N1" s="25" t="str">
        <x:v>老虎機數學入門 PART III - 首輪有 Wild 的主遊戲 RTP</x:v>
      </x:c>
      <x:c r="O1" s="25" t="str">
        <x:v>老虎機數學入門 PART III - 首輪有 Wild 的主遊戲 RTP</x:v>
      </x:c>
      <x:c r="P1" s="25" t="str">
        <x:v>老虎機數學入門 PART III - 首輪有 Wild 的主遊戲 RTP</x:v>
      </x:c>
      <x:c r="Q1" s="25" t="str">
        <x:v>老虎機數學入門 PART III - 首輪有 Wild 的主遊戲 RTP</x:v>
      </x:c>
      <x:c r="R1" s="25" t="str">
        <x:v>老虎機數學入門 PART III - 首輪有 Wild 的主遊戲 RTP</x:v>
      </x:c>
      <x:c r="S1" s="25" t="str">
        <x:v>老虎機數學入門 PART III - 首輪有 Wild 的主遊戲 RTP</x:v>
      </x:c>
      <x:c r="T1" s="25" t="str">
        <x:v>老虎機數學入門 PART III - 首輪有 Wild 的主遊戲 RTP</x:v>
      </x:c>
      <x:c r="U1" s="25" t="str">
        <x:v>老虎機數學入門 PART III - 首輪有 Wild 的主遊戲 RTP</x:v>
      </x:c>
      <x:c r="V1" s="25" t="str">
        <x:v>老虎機數學入門 PART III - 首輪有 Wild 的主遊戲 RTP</x:v>
      </x:c>
      <x:c r="W1" s="25" t="str">
        <x:v>老虎機數學入門 PART III - 首輪有 Wild 的主遊戲 RTP</x:v>
      </x:c>
      <x:c r="X1" s="25" t="str">
        <x:v>老虎機數學入門 PART III - 首輪有 Wild 的主遊戲 RTP</x:v>
      </x:c>
      <x:c r="Y1" s="25" t="str">
        <x:v>老虎機數學入門 PART III - 首輪有 Wild 的主遊戲 RTP</x:v>
      </x:c>
      <x:c r="Z1" s="25" t="str">
        <x:v>老虎機數學入門 PART III - 首輪有 Wild 的主遊戲 RTP</x:v>
      </x:c>
    </x:row>
    <x:row r="2">
      <x:c r="A2" s="6" t="str">
        <x:v>Source: https://ezslotdesign.com/slotmath3/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4">
      <x:c r="A4" s="10" t="str">
        <x:v>滾輪表</x:v>
      </x:c>
      <x:c r="B4" s="10" t="str">
        <x:v>滾輪表</x:v>
      </x:c>
      <x:c r="C4" s="10" t="str">
        <x:v>滾輪表</x:v>
      </x:c>
      <x:c r="D4" s="10" t="str">
        <x:v>滾輪表</x:v>
      </x:c>
      <x:c r="E4" s="10" t="str">
        <x:v>滾輪表</x:v>
      </x:c>
      <x:c r="F4" s="10" t="str">
        <x:v>滾輪表</x:v>
      </x:c>
      <x:c r="H4" s="10" t="str">
        <x:v>賠率表</x:v>
      </x:c>
      <x:c r="I4" s="10" t="str">
        <x:v>賠率表</x:v>
      </x:c>
      <x:c r="J4" s="10" t="str">
        <x:v>賠率表</x:v>
      </x:c>
      <x:c r="K4" s="10" t="str">
        <x:v>賠率表</x:v>
      </x:c>
      <x:c r="M4" s="10" t="str">
        <x:v>RTP 摘要</x:v>
      </x:c>
      <x:c r="N4" s="10" t="str">
        <x:v>RTP 摘要</x:v>
      </x:c>
    </x:row>
    <x:row r="5">
      <x:c r="A5" s="16" t="str">
        <x:v>位置</x:v>
      </x:c>
      <x:c r="B5" s="16" t="str">
        <x:v>轉輪1</x:v>
      </x:c>
      <x:c r="C5" s="16" t="str">
        <x:v>轉輪2</x:v>
      </x:c>
      <x:c r="D5" s="16" t="str">
        <x:v>轉輪3</x:v>
      </x:c>
      <x:c r="E5" s="16" t="str">
        <x:v>轉輪4</x:v>
      </x:c>
      <x:c r="F5" s="16" t="str">
        <x:v>轉輪5</x:v>
      </x:c>
      <x:c r="H5" s="16" t="str">
        <x:v>圖案</x:v>
      </x:c>
      <x:c r="I5" s="16" t="str">
        <x:v>3連線</x:v>
      </x:c>
      <x:c r="J5" s="16" t="str">
        <x:v>4連線</x:v>
      </x:c>
      <x:c r="K5" s="16" t="str">
        <x:v>5連線</x:v>
      </x:c>
      <x:c r="M5" s="20" t="str">
        <x:v>所有可能數</x:v>
      </x:c>
      <x:c r="N5" s="21" t="n">
        <x:f>PRODUCT(B30:F30)</x:f>
        <x:v>3200000</x:v>
      </x:c>
    </x:row>
    <x:row r="6">
      <x:c r="A6" s="19" t="n">
        <x:v>1</x:v>
      </x:c>
      <x:c r="B6" s="19" t="str">
        <x:v>W</x:v>
      </x:c>
      <x:c r="C6" s="19" t="str">
        <x:v>W</x:v>
      </x:c>
      <x:c r="D6" s="19" t="str">
        <x:v>W</x:v>
      </x:c>
      <x:c r="E6" s="19" t="str">
        <x:v>W</x:v>
      </x:c>
      <x:c r="F6" s="19" t="str">
        <x:v>W</x:v>
      </x:c>
      <x:c r="H6" s="19" t="str">
        <x:v>W</x:v>
      </x:c>
      <x:c r="I6" s="19" t="n">
        <x:v>150</x:v>
      </x:c>
      <x:c r="J6" s="19" t="n">
        <x:v>300</x:v>
      </x:c>
      <x:c r="K6" s="19" t="n">
        <x:v>1000</x:v>
      </x:c>
      <x:c r="M6" s="20" t="str">
        <x:v>不含 Wild RTP</x:v>
      </x:c>
      <x:c r="N6" s="22" t="n">
        <x:f>SUM(K45:K59)</x:f>
        <x:v>0.275925</x:v>
      </x:c>
    </x:row>
    <x:row r="7">
      <x:c r="A7" s="19" t="n">
        <x:v>2</x:v>
      </x:c>
      <x:c r="B7" s="19" t="str">
        <x:v>K</x:v>
      </x:c>
      <x:c r="C7" s="19" t="str">
        <x:v>K</x:v>
      </x:c>
      <x:c r="D7" s="19" t="str">
        <x:v>K</x:v>
      </x:c>
      <x:c r="E7" s="19" t="str">
        <x:v>K</x:v>
      </x:c>
      <x:c r="F7" s="19" t="str">
        <x:v>K</x:v>
      </x:c>
      <x:c r="H7" s="19" t="str">
        <x:v>K</x:v>
      </x:c>
      <x:c r="I7" s="19" t="n">
        <x:v>5</x:v>
      </x:c>
      <x:c r="J7" s="19" t="n">
        <x:v>30</x:v>
      </x:c>
      <x:c r="K7" s="19" t="n">
        <x:v>100</x:v>
      </x:c>
      <x:c r="M7" s="20" t="str">
        <x:v>含 Wild 替代 RTP</x:v>
      </x:c>
      <x:c r="N7" s="22" t="n">
        <x:f>SUM(L65:L324)</x:f>
        <x:v>1.9929281249999975</x:v>
      </x:c>
    </x:row>
    <x:row r="8">
      <x:c r="A8" s="19" t="n">
        <x:v>3</x:v>
      </x:c>
      <x:c r="B8" s="19" t="str">
        <x:v>J</x:v>
      </x:c>
      <x:c r="C8" s="19" t="str">
        <x:v>Q</x:v>
      </x:c>
      <x:c r="D8" s="19" t="str">
        <x:v>Q</x:v>
      </x:c>
      <x:c r="E8" s="19" t="str">
        <x:v>Q</x:v>
      </x:c>
      <x:c r="F8" s="19" t="str">
        <x:v>Q</x:v>
      </x:c>
      <x:c r="H8" s="19" t="str">
        <x:v>Q</x:v>
      </x:c>
      <x:c r="I8" s="19" t="n">
        <x:v>5</x:v>
      </x:c>
      <x:c r="J8" s="19" t="n">
        <x:v>25</x:v>
      </x:c>
      <x:c r="K8" s="19" t="n">
        <x:v>100</x:v>
      </x:c>
      <x:c r="M8" s="20" t="str">
        <x:v>純 Wild RTP</x:v>
      </x:c>
      <x:c r="N8" s="22" t="n">
        <x:f>SUM(K329:K331)</x:f>
        <x:v>0.01</x:v>
      </x:c>
    </x:row>
    <x:row r="9">
      <x:c r="A9" s="19" t="n">
        <x:v>4</x:v>
      </x:c>
      <x:c r="B9" s="19" t="str">
        <x:v>10</x:v>
      </x:c>
      <x:c r="C9" s="19" t="str">
        <x:v>J</x:v>
      </x:c>
      <x:c r="D9" s="19" t="str">
        <x:v>J</x:v>
      </x:c>
      <x:c r="E9" s="19" t="str">
        <x:v>J</x:v>
      </x:c>
      <x:c r="F9" s="19" t="str">
        <x:v>J</x:v>
      </x:c>
      <x:c r="H9" s="19" t="str">
        <x:v>J</x:v>
      </x:c>
      <x:c r="I9" s="19" t="n">
        <x:v>5</x:v>
      </x:c>
      <x:c r="J9" s="19" t="n">
        <x:v>20</x:v>
      </x:c>
      <x:c r="K9" s="19" t="n">
        <x:v>75</x:v>
      </x:c>
      <x:c r="M9" s="20" t="str">
        <x:v>Total RTP</x:v>
      </x:c>
      <x:c r="N9" s="22" t="n">
        <x:f>SUM(N6:N8)</x:f>
        <x:v>2.2788531249999973</x:v>
      </x:c>
    </x:row>
    <x:row r="10">
      <x:c r="A10" s="19" t="n">
        <x:v>5</x:v>
      </x:c>
      <x:c r="B10" s="19" t="str">
        <x:v>9</x:v>
      </x:c>
      <x:c r="C10" s="19" t="str">
        <x:v>10</x:v>
      </x:c>
      <x:c r="D10" s="19" t="str">
        <x:v>10</x:v>
      </x:c>
      <x:c r="E10" s="19" t="str">
        <x:v>10</x:v>
      </x:c>
      <x:c r="F10" s="19" t="str">
        <x:v>10</x:v>
      </x:c>
      <x:c r="H10" s="19" t="str">
        <x:v>10</x:v>
      </x:c>
      <x:c r="I10" s="19" t="n">
        <x:v>5</x:v>
      </x:c>
      <x:c r="J10" s="19" t="n">
        <x:v>20</x:v>
      </x:c>
      <x:c r="K10" s="19" t="n">
        <x:v>75</x:v>
      </x:c>
    </x:row>
    <x:row r="11">
      <x:c r="A11" s="19" t="n">
        <x:v>6</x:v>
      </x:c>
      <x:c r="B11" s="19" t="str">
        <x:v>9</x:v>
      </x:c>
      <x:c r="C11" s="19" t="str">
        <x:v>9</x:v>
      </x:c>
      <x:c r="D11" s="19" t="str">
        <x:v>9</x:v>
      </x:c>
      <x:c r="E11" s="19" t="str">
        <x:v>9</x:v>
      </x:c>
      <x:c r="F11" s="19" t="str">
        <x:v>9</x:v>
      </x:c>
      <x:c r="H11" s="19" t="str">
        <x:v>9</x:v>
      </x:c>
      <x:c r="I11" s="19" t="n">
        <x:v>5</x:v>
      </x:c>
      <x:c r="J11" s="19" t="n">
        <x:v>10</x:v>
      </x:c>
      <x:c r="K11" s="19" t="n">
        <x:v>50</x:v>
      </x:c>
    </x:row>
    <x:row r="12">
      <x:c r="A12" s="19" t="n">
        <x:v>7</x:v>
      </x:c>
      <x:c r="B12" s="19" t="str">
        <x:v>W</x:v>
      </x:c>
      <x:c r="C12" s="19" t="str">
        <x:v>W</x:v>
      </x:c>
      <x:c r="D12" s="19" t="str">
        <x:v>W</x:v>
      </x:c>
      <x:c r="E12" s="19" t="str">
        <x:v>W</x:v>
      </x:c>
      <x:c r="F12" s="19" t="str">
        <x:v>W</x:v>
      </x:c>
    </x:row>
    <x:row r="13">
      <x:c r="A13" s="19" t="n">
        <x:v>8</x:v>
      </x:c>
      <x:c r="B13" s="19" t="str">
        <x:v>Q</x:v>
      </x:c>
      <x:c r="C13" s="19" t="str">
        <x:v>K</x:v>
      </x:c>
      <x:c r="D13" s="19" t="str">
        <x:v>K</x:v>
      </x:c>
      <x:c r="E13" s="19" t="str">
        <x:v>K</x:v>
      </x:c>
      <x:c r="F13" s="19" t="str">
        <x:v>K</x:v>
      </x:c>
    </x:row>
    <x:row r="14">
      <x:c r="A14" s="19" t="n">
        <x:v>9</x:v>
      </x:c>
      <x:c r="B14" s="19" t="str">
        <x:v>J</x:v>
      </x:c>
      <x:c r="C14" s="19" t="str">
        <x:v>Q</x:v>
      </x:c>
      <x:c r="D14" s="19" t="str">
        <x:v>Q</x:v>
      </x:c>
      <x:c r="E14" s="19" t="str">
        <x:v>Q</x:v>
      </x:c>
      <x:c r="F14" s="19" t="str">
        <x:v>Q</x:v>
      </x:c>
    </x:row>
    <x:row r="15">
      <x:c r="A15" s="19" t="n">
        <x:v>10</x:v>
      </x:c>
      <x:c r="B15" s="19" t="str">
        <x:v>10</x:v>
      </x:c>
      <x:c r="C15" s="19" t="str">
        <x:v>J</x:v>
      </x:c>
      <x:c r="D15" s="19" t="str">
        <x:v>J</x:v>
      </x:c>
      <x:c r="E15" s="19" t="str">
        <x:v>J</x:v>
      </x:c>
      <x:c r="F15" s="19" t="str">
        <x:v>J</x:v>
      </x:c>
    </x:row>
    <x:row r="16">
      <x:c r="A16" s="19" t="n">
        <x:v>11</x:v>
      </x:c>
      <x:c r="B16" s="19" t="str">
        <x:v>9</x:v>
      </x:c>
      <x:c r="C16" s="19" t="str">
        <x:v>10</x:v>
      </x:c>
      <x:c r="D16" s="19" t="str">
        <x:v>10</x:v>
      </x:c>
      <x:c r="E16" s="19" t="str">
        <x:v>10</x:v>
      </x:c>
      <x:c r="F16" s="19" t="str">
        <x:v>10</x:v>
      </x:c>
    </x:row>
    <x:row r="17">
      <x:c r="A17" s="19" t="n">
        <x:v>12</x:v>
      </x:c>
      <x:c r="B17" s="19" t="str">
        <x:v>10</x:v>
      </x:c>
      <x:c r="C17" s="19" t="str">
        <x:v>9</x:v>
      </x:c>
      <x:c r="D17" s="19" t="str">
        <x:v>9</x:v>
      </x:c>
      <x:c r="E17" s="19" t="str">
        <x:v>9</x:v>
      </x:c>
      <x:c r="F17" s="19" t="str">
        <x:v>9</x:v>
      </x:c>
    </x:row>
    <x:row r="18">
      <x:c r="A18" s="19" t="n">
        <x:v>13</x:v>
      </x:c>
      <x:c r="B18" s="19" t="str">
        <x:v>Q</x:v>
      </x:c>
      <x:c r="C18" s="19" t="str">
        <x:v>K</x:v>
      </x:c>
      <x:c r="D18" s="19" t="str">
        <x:v>K</x:v>
      </x:c>
      <x:c r="E18" s="19" t="str">
        <x:v>K</x:v>
      </x:c>
      <x:c r="F18" s="19" t="str">
        <x:v>K</x:v>
      </x:c>
    </x:row>
    <x:row r="19">
      <x:c r="A19" s="19" t="n">
        <x:v>14</x:v>
      </x:c>
      <x:c r="B19" s="19" t="str">
        <x:v>J</x:v>
      </x:c>
      <x:c r="C19" s="19" t="str">
        <x:v>Q</x:v>
      </x:c>
      <x:c r="D19" s="19" t="str">
        <x:v>Q</x:v>
      </x:c>
      <x:c r="E19" s="19" t="str">
        <x:v>Q</x:v>
      </x:c>
      <x:c r="F19" s="19" t="str">
        <x:v>Q</x:v>
      </x:c>
    </x:row>
    <x:row r="20">
      <x:c r="A20" s="19" t="n">
        <x:v>15</x:v>
      </x:c>
      <x:c r="B20" s="19" t="str">
        <x:v>10</x:v>
      </x:c>
      <x:c r="C20" s="19" t="str">
        <x:v>J</x:v>
      </x:c>
      <x:c r="D20" s="19" t="str">
        <x:v>J</x:v>
      </x:c>
      <x:c r="E20" s="19" t="str">
        <x:v>J</x:v>
      </x:c>
      <x:c r="F20" s="19" t="str">
        <x:v>J</x:v>
      </x:c>
    </x:row>
    <x:row r="21">
      <x:c r="A21" s="19" t="n">
        <x:v>16</x:v>
      </x:c>
      <x:c r="B21" s="19" t="str">
        <x:v>9</x:v>
      </x:c>
      <x:c r="C21" s="19" t="str">
        <x:v>10</x:v>
      </x:c>
      <x:c r="D21" s="19" t="str">
        <x:v>10</x:v>
      </x:c>
      <x:c r="E21" s="19" t="str">
        <x:v>10</x:v>
      </x:c>
      <x:c r="F21" s="19" t="str">
        <x:v>10</x:v>
      </x:c>
    </x:row>
    <x:row r="22">
      <x:c r="A22" s="19" t="n">
        <x:v>17</x:v>
      </x:c>
      <x:c r="B22" s="19" t="str">
        <x:v>9</x:v>
      </x:c>
      <x:c r="C22" s="19" t="str">
        <x:v>9</x:v>
      </x:c>
      <x:c r="D22" s="19" t="str">
        <x:v>9</x:v>
      </x:c>
      <x:c r="E22" s="19" t="str">
        <x:v>9</x:v>
      </x:c>
      <x:c r="F22" s="19" t="str">
        <x:v>9</x:v>
      </x:c>
    </x:row>
    <x:row r="23">
      <x:c r="A23" s="19" t="n">
        <x:v>18</x:v>
      </x:c>
      <x:c r="B23" s="19" t="str">
        <x:v>J</x:v>
      </x:c>
      <x:c r="C23" s="19" t="str">
        <x:v>J</x:v>
      </x:c>
      <x:c r="D23" s="19" t="str">
        <x:v>J</x:v>
      </x:c>
      <x:c r="E23" s="19" t="str">
        <x:v>J</x:v>
      </x:c>
      <x:c r="F23" s="19" t="str">
        <x:v>J</x:v>
      </x:c>
    </x:row>
    <x:row r="24">
      <x:c r="A24" s="19" t="n">
        <x:v>19</x:v>
      </x:c>
      <x:c r="B24" s="19" t="str">
        <x:v>10</x:v>
      </x:c>
      <x:c r="C24" s="19" t="str">
        <x:v>J</x:v>
      </x:c>
      <x:c r="D24" s="19" t="str">
        <x:v>10</x:v>
      </x:c>
      <x:c r="E24" s="19" t="str">
        <x:v>10</x:v>
      </x:c>
      <x:c r="F24" s="19" t="str">
        <x:v>10</x:v>
      </x:c>
    </x:row>
    <x:row r="25">
      <x:c r="A25" s="19" t="n">
        <x:v>20</x:v>
      </x:c>
      <x:c r="B25" s="19" t="str">
        <x:v>9</x:v>
      </x:c>
      <x:c r="C25" s="19" t="str">
        <x:v>9</x:v>
      </x:c>
      <x:c r="D25" s="19" t="str">
        <x:v>9</x:v>
      </x:c>
      <x:c r="E25" s="19" t="str">
        <x:v>9</x:v>
      </x:c>
      <x:c r="F25" s="19" t="str">
        <x:v>9</x:v>
      </x:c>
    </x:row>
    <x:row r="28">
      <x:c r="A28" s="10" t="str">
        <x:v>圖案次數統計</x:v>
      </x:c>
      <x:c r="B28" s="10" t="str">
        <x:v>圖案次數統計</x:v>
      </x:c>
      <x:c r="C28" s="10" t="str">
        <x:v>圖案次數統計</x:v>
      </x:c>
      <x:c r="D28" s="10" t="str">
        <x:v>圖案次數統計</x:v>
      </x:c>
      <x:c r="E28" s="10" t="str">
        <x:v>圖案次數統計</x:v>
      </x:c>
      <x:c r="F28" s="10" t="str">
        <x:v>圖案次數統計</x:v>
      </x:c>
    </x:row>
    <x:row r="29">
      <x:c r="A29" s="16" t="str">
        <x:v>圖案</x:v>
      </x:c>
      <x:c r="B29" s="16" t="str">
        <x:v>轉輪1</x:v>
      </x:c>
      <x:c r="C29" s="16" t="str">
        <x:v>轉輪2</x:v>
      </x:c>
      <x:c r="D29" s="16" t="str">
        <x:v>轉輪3</x:v>
      </x:c>
      <x:c r="E29" s="16" t="str">
        <x:v>轉輪4</x:v>
      </x:c>
      <x:c r="F29" s="16" t="str">
        <x:v>轉輪5</x:v>
      </x:c>
    </x:row>
    <x:row r="30">
      <x:c r="A30" s="18" t="str">
        <x:v>any</x:v>
      </x:c>
      <x:c r="B30" s="18" t="n">
        <x:f>COUNTA(B$6:B$25)</x:f>
        <x:v>20</x:v>
      </x:c>
      <x:c r="C30" s="18" t="n">
        <x:f>COUNTA(C$6:C$25)</x:f>
        <x:v>20</x:v>
      </x:c>
      <x:c r="D30" s="18" t="n">
        <x:f>COUNTA(D$6:D$25)</x:f>
        <x:v>20</x:v>
      </x:c>
      <x:c r="E30" s="18" t="n">
        <x:f>COUNTA(E$6:E$25)</x:f>
        <x:v>20</x:v>
      </x:c>
      <x:c r="F30" s="18" t="n">
        <x:f>COUNTA(F$6:F$25)</x:f>
        <x:v>20</x:v>
      </x:c>
    </x:row>
    <x:row r="31">
      <x:c r="A31" s="18" t="str">
        <x:v>W</x:v>
      </x:c>
      <x:c r="B31" s="18" t="n">
        <x:f>COUNTIF(B$6:B$25,$A31)</x:f>
        <x:v>2</x:v>
      </x:c>
      <x:c r="C31" s="18" t="n">
        <x:f>COUNTIF(C$6:C$25,$A31)</x:f>
        <x:v>2</x:v>
      </x:c>
      <x:c r="D31" s="18" t="n">
        <x:f>COUNTIF(D$6:D$25,$A31)</x:f>
        <x:v>2</x:v>
      </x:c>
      <x:c r="E31" s="18" t="n">
        <x:f>COUNTIF(E$6:E$25,$A31)</x:f>
        <x:v>2</x:v>
      </x:c>
      <x:c r="F31" s="18" t="n">
        <x:f>COUNTIF(F$6:F$25,$A31)</x:f>
        <x:v>2</x:v>
      </x:c>
    </x:row>
    <x:row r="32">
      <x:c r="A32" s="18" t="str">
        <x:v>K</x:v>
      </x:c>
      <x:c r="B32" s="18" t="n">
        <x:f>COUNTIF(B$6:B$25,$A32)</x:f>
        <x:v>1</x:v>
      </x:c>
      <x:c r="C32" s="18" t="n">
        <x:f>COUNTIF(C$6:C$25,$A32)</x:f>
        <x:v>3</x:v>
      </x:c>
      <x:c r="D32" s="18" t="n">
        <x:f>COUNTIF(D$6:D$25,$A32)</x:f>
        <x:v>3</x:v>
      </x:c>
      <x:c r="E32" s="18" t="n">
        <x:f>COUNTIF(E$6:E$25,$A32)</x:f>
        <x:v>3</x:v>
      </x:c>
      <x:c r="F32" s="18" t="n">
        <x:f>COUNTIF(F$6:F$25,$A32)</x:f>
        <x:v>3</x:v>
      </x:c>
    </x:row>
    <x:row r="33">
      <x:c r="A33" s="18" t="str">
        <x:v>Q</x:v>
      </x:c>
      <x:c r="B33" s="18" t="n">
        <x:f>COUNTIF(B$6:B$25,$A33)</x:f>
        <x:v>2</x:v>
      </x:c>
      <x:c r="C33" s="18" t="n">
        <x:f>COUNTIF(C$6:C$25,$A33)</x:f>
        <x:v>3</x:v>
      </x:c>
      <x:c r="D33" s="18" t="n">
        <x:f>COUNTIF(D$6:D$25,$A33)</x:f>
        <x:v>3</x:v>
      </x:c>
      <x:c r="E33" s="18" t="n">
        <x:f>COUNTIF(E$6:E$25,$A33)</x:f>
        <x:v>3</x:v>
      </x:c>
      <x:c r="F33" s="18" t="n">
        <x:f>COUNTIF(F$6:F$25,$A33)</x:f>
        <x:v>3</x:v>
      </x:c>
    </x:row>
    <x:row r="34">
      <x:c r="A34" s="18" t="str">
        <x:v>J</x:v>
      </x:c>
      <x:c r="B34" s="18" t="n">
        <x:f>COUNTIF(B$6:B$25,$A34)</x:f>
        <x:v>4</x:v>
      </x:c>
      <x:c r="C34" s="18" t="n">
        <x:f>COUNTIF(C$6:C$25,$A34)</x:f>
        <x:v>5</x:v>
      </x:c>
      <x:c r="D34" s="18" t="n">
        <x:f>COUNTIF(D$6:D$25,$A34)</x:f>
        <x:v>4</x:v>
      </x:c>
      <x:c r="E34" s="18" t="n">
        <x:f>COUNTIF(E$6:E$25,$A34)</x:f>
        <x:v>4</x:v>
      </x:c>
      <x:c r="F34" s="18" t="n">
        <x:f>COUNTIF(F$6:F$25,$A34)</x:f>
        <x:v>4</x:v>
      </x:c>
    </x:row>
    <x:row r="35">
      <x:c r="A35" s="18" t="str">
        <x:v>10</x:v>
      </x:c>
      <x:c r="B35" s="18" t="n">
        <x:f>COUNTIF(B$6:B$25,$A35)</x:f>
        <x:v>5</x:v>
      </x:c>
      <x:c r="C35" s="18" t="n">
        <x:f>COUNTIF(C$6:C$25,$A35)</x:f>
        <x:v>3</x:v>
      </x:c>
      <x:c r="D35" s="18" t="n">
        <x:f>COUNTIF(D$6:D$25,$A35)</x:f>
        <x:v>4</x:v>
      </x:c>
      <x:c r="E35" s="18" t="n">
        <x:f>COUNTIF(E$6:E$25,$A35)</x:f>
        <x:v>4</x:v>
      </x:c>
      <x:c r="F35" s="18" t="n">
        <x:f>COUNTIF(F$6:F$25,$A35)</x:f>
        <x:v>4</x:v>
      </x:c>
    </x:row>
    <x:row r="36">
      <x:c r="A36" s="18" t="str">
        <x:v>9</x:v>
      </x:c>
      <x:c r="B36" s="18" t="n">
        <x:f>COUNTIF(B$6:B$25,$A36)</x:f>
        <x:v>6</x:v>
      </x:c>
      <x:c r="C36" s="18" t="n">
        <x:f>COUNTIF(C$6:C$25,$A36)</x:f>
        <x:v>4</x:v>
      </x:c>
      <x:c r="D36" s="18" t="n">
        <x:f>COUNTIF(D$6:D$25,$A36)</x:f>
        <x:v>4</x:v>
      </x:c>
      <x:c r="E36" s="18" t="n">
        <x:f>COUNTIF(E$6:E$25,$A36)</x:f>
        <x:v>4</x:v>
      </x:c>
      <x:c r="F36" s="18" t="n">
        <x:f>COUNTIF(F$6:F$25,$A36)</x:f>
        <x:v>4</x:v>
      </x:c>
    </x:row>
    <x:row r="37">
      <x:c r="A37" s="18" t="str">
        <x:v>S</x:v>
      </x:c>
      <x:c r="B37" s="18" t="n">
        <x:f>COUNTIF(B$6:B$25,$A37)</x:f>
        <x:v>0</x:v>
      </x:c>
      <x:c r="C37" s="18" t="n">
        <x:f>COUNTIF(C$6:C$25,$A37)</x:f>
        <x:v>0</x:v>
      </x:c>
      <x:c r="D37" s="18" t="n">
        <x:f>COUNTIF(D$6:D$25,$A37)</x:f>
        <x:v>0</x:v>
      </x:c>
      <x:c r="E37" s="18" t="n">
        <x:f>COUNTIF(E$6:E$25,$A37)</x:f>
        <x:v>0</x:v>
      </x:c>
      <x:c r="F37" s="18" t="n">
        <x:f>COUNTIF(F$6:F$25,$A37)</x:f>
        <x:v>0</x:v>
      </x:c>
    </x:row>
    <x:row r="38">
      <x:c r="A38" s="18" t="str">
        <x:v>X_WK</x:v>
      </x:c>
      <x:c r="B38" s="18" t="n">
        <x:f>B30-B31-B32</x:f>
        <x:v>17</x:v>
      </x:c>
      <x:c r="C38" s="18" t="n">
        <x:f>C30-C31-C32</x:f>
        <x:v>15</x:v>
      </x:c>
      <x:c r="D38" s="18" t="n">
        <x:f>D30-D31-D32</x:f>
        <x:v>15</x:v>
      </x:c>
      <x:c r="E38" s="18" t="n">
        <x:f>E30-E31-E32</x:f>
        <x:v>15</x:v>
      </x:c>
      <x:c r="F38" s="18" t="n">
        <x:f>F30-F31-F32</x:f>
        <x:v>15</x:v>
      </x:c>
    </x:row>
    <x:row r="39">
      <x:c r="A39" s="18" t="str">
        <x:v>X_WQ</x:v>
      </x:c>
      <x:c r="B39" s="18" t="n">
        <x:f>B30-B31-B33</x:f>
        <x:v>16</x:v>
      </x:c>
      <x:c r="C39" s="18" t="n">
        <x:f>C30-C31-C33</x:f>
        <x:v>15</x:v>
      </x:c>
      <x:c r="D39" s="18" t="n">
        <x:f>D30-D31-D33</x:f>
        <x:v>15</x:v>
      </x:c>
      <x:c r="E39" s="18" t="n">
        <x:f>E30-E31-E33</x:f>
        <x:v>15</x:v>
      </x:c>
      <x:c r="F39" s="18" t="n">
        <x:f>F30-F31-F33</x:f>
        <x:v>15</x:v>
      </x:c>
    </x:row>
    <x:row r="40">
      <x:c r="A40" s="18" t="str">
        <x:v>X_WJ</x:v>
      </x:c>
      <x:c r="B40" s="18" t="n">
        <x:f>B30-B31-B34</x:f>
        <x:v>14</x:v>
      </x:c>
      <x:c r="C40" s="18" t="n">
        <x:f>C30-C31-C34</x:f>
        <x:v>13</x:v>
      </x:c>
      <x:c r="D40" s="18" t="n">
        <x:f>D30-D31-D34</x:f>
        <x:v>14</x:v>
      </x:c>
      <x:c r="E40" s="18" t="n">
        <x:f>E30-E31-E34</x:f>
        <x:v>14</x:v>
      </x:c>
      <x:c r="F40" s="18" t="n">
        <x:f>F30-F31-F34</x:f>
        <x:v>14</x:v>
      </x:c>
    </x:row>
    <x:row r="41">
      <x:c r="A41" s="18" t="str">
        <x:v>X_W10</x:v>
      </x:c>
      <x:c r="B41" s="18" t="n">
        <x:f>B30-B31-B35</x:f>
        <x:v>13</x:v>
      </x:c>
      <x:c r="C41" s="18" t="n">
        <x:f>C30-C31-C35</x:f>
        <x:v>15</x:v>
      </x:c>
      <x:c r="D41" s="18" t="n">
        <x:f>D30-D31-D35</x:f>
        <x:v>14</x:v>
      </x:c>
      <x:c r="E41" s="18" t="n">
        <x:f>E30-E31-E35</x:f>
        <x:v>14</x:v>
      </x:c>
      <x:c r="F41" s="18" t="n">
        <x:f>F30-F31-F35</x:f>
        <x:v>14</x:v>
      </x:c>
    </x:row>
    <x:row r="42">
      <x:c r="A42" s="18" t="str">
        <x:v>X_W9</x:v>
      </x:c>
      <x:c r="B42" s="18" t="n">
        <x:f>B30-B31-B36</x:f>
        <x:v>12</x:v>
      </x:c>
      <x:c r="C42" s="18" t="n">
        <x:f>C30-C31-C36</x:f>
        <x:v>14</x:v>
      </x:c>
      <x:c r="D42" s="18" t="n">
        <x:f>D30-D31-D36</x:f>
        <x:v>14</x:v>
      </x:c>
      <x:c r="E42" s="18" t="n">
        <x:f>E30-E31-E36</x:f>
        <x:v>14</x:v>
      </x:c>
      <x:c r="F42" s="18" t="n">
        <x:f>F30-F31-F36</x:f>
        <x:v>14</x:v>
      </x:c>
    </x:row>
    <x:row r="43">
      <x:c r="A43" s="10" t="str">
        <x:v>不包含 Wild 的一般圖案連線</x:v>
      </x:c>
      <x:c r="B43" s="10" t="str">
        <x:v>不包含 Wild 的一般圖案連線</x:v>
      </x:c>
      <x:c r="C43" s="10" t="str">
        <x:v>不包含 Wild 的一般圖案連線</x:v>
      </x:c>
      <x:c r="D43" s="10" t="str">
        <x:v>不包含 Wild 的一般圖案連線</x:v>
      </x:c>
      <x:c r="E43" s="10" t="str">
        <x:v>不包含 Wild 的一般圖案連線</x:v>
      </x:c>
      <x:c r="F43" s="10" t="str">
        <x:v>不包含 Wild 的一般圖案連線</x:v>
      </x:c>
      <x:c r="G43" s="10" t="str">
        <x:v>不包含 Wild 的一般圖案連線</x:v>
      </x:c>
      <x:c r="H43" s="10" t="str">
        <x:v>不包含 Wild 的一般圖案連線</x:v>
      </x:c>
      <x:c r="I43" s="10" t="str">
        <x:v>不包含 Wild 的一般圖案連線</x:v>
      </x:c>
      <x:c r="J43" s="10" t="str">
        <x:v>不包含 Wild 的一般圖案連線</x:v>
      </x:c>
      <x:c r="K43" s="10" t="str">
        <x:v>不包含 Wild 的一般圖案連線</x:v>
      </x:c>
      <x:c r="L43" s="10" t="str">
        <x:v>不包含 Wild 的一般圖案連線</x:v>
      </x:c>
      <x:c r="M43" s="10" t="str">
        <x:v>不包含 Wild 的一般圖案連線</x:v>
      </x:c>
      <x:c r="N43" s="10" t="str">
        <x:v>不包含 Wild 的一般圖案連線</x:v>
      </x:c>
    </x:row>
    <x:row r="44">
      <x:c r="A44" s="16" t="str">
        <x:v>圖案</x:v>
      </x:c>
      <x:c r="B44" s="16" t="str">
        <x:v>連線數</x:v>
      </x:c>
      <x:c r="C44" s="16" t="str">
        <x:v>轉輪1</x:v>
      </x:c>
      <x:c r="D44" s="16" t="str">
        <x:v>轉輪2</x:v>
      </x:c>
      <x:c r="E44" s="16" t="str">
        <x:v>轉輪3</x:v>
      </x:c>
      <x:c r="F44" s="16" t="str">
        <x:v>轉輪4</x:v>
      </x:c>
      <x:c r="G44" s="16" t="str">
        <x:v>轉輪5</x:v>
      </x:c>
      <x:c r="H44" s="16" t="str">
        <x:v>出現次數</x:v>
      </x:c>
      <x:c r="I44" s="16" t="str">
        <x:v>出現機率</x:v>
      </x:c>
      <x:c r="J44" s="16" t="str">
        <x:v>得分數</x:v>
      </x:c>
      <x:c r="K44" s="16" t="str">
        <x:v>RTP</x:v>
      </x:c>
      <x:c r="L44" s="16" t="str">
        <x:v>說明</x:v>
      </x:c>
      <x:c r="M44" s="16"/>
      <x:c r="N44" s="16"/>
    </x:row>
    <x:row r="45">
      <x:c r="A45" s="18" t="str">
        <x:v>K</x:v>
      </x:c>
      <x:c r="B45" s="18" t="n">
        <x:v>5</x:v>
      </x:c>
      <x:c r="C45" s="18" t="str">
        <x:v>K</x:v>
      </x:c>
      <x:c r="D45" s="18" t="str">
        <x:v>K</x:v>
      </x:c>
      <x:c r="E45" s="18" t="str">
        <x:v>K</x:v>
      </x:c>
      <x:c r="F45" s="18" t="str">
        <x:v>K</x:v>
      </x:c>
      <x:c r="G45" s="18" t="str">
        <x:v>K</x:v>
      </x:c>
      <x:c r="H45" s="21" t="n">
        <x:f>PRODUCT(VLOOKUP(C45,$A$29:$F$42,2,FALSE),VLOOKUP(D45,$A$29:$F$42,3,FALSE),VLOOKUP(E45,$A$29:$F$42,4,FALSE),VLOOKUP(F45,$A$29:$F$42,5,FALSE),VLOOKUP(G45,$A$29:$F$42,6,FALSE))</x:f>
        <x:v>81</x:v>
      </x:c>
      <x:c r="I45" s="22" t="n">
        <x:f>H45/$N$5</x:f>
        <x:v>0.0000253125</x:v>
      </x:c>
      <x:c r="J45" s="18" t="n">
        <x:f>INDEX($I$6:$K$11,MATCH(A45,$H$6:$H$11,0),MATCH(B45&amp;"連線",$I$5:$K$5,0))</x:f>
        <x:v>100</x:v>
      </x:c>
      <x:c r="K45" s="22" t="n">
        <x:f>I45*J45</x:f>
        <x:v>0.0025312499999999996</x:v>
      </x:c>
      <x:c r="L45" s="18" t="str">
        <x:v>只算圖案本身，不把 Wild 加入圖案次數</x:v>
      </x:c>
      <x:c r="M45" s="18"/>
      <x:c r="N45" s="18"/>
    </x:row>
    <x:row r="46">
      <x:c r="A46" s="18" t="str">
        <x:v>K</x:v>
      </x:c>
      <x:c r="B46" s="18" t="n">
        <x:v>4</x:v>
      </x:c>
      <x:c r="C46" s="18" t="str">
        <x:v>K</x:v>
      </x:c>
      <x:c r="D46" s="18" t="str">
        <x:v>K</x:v>
      </x:c>
      <x:c r="E46" s="18" t="str">
        <x:v>K</x:v>
      </x:c>
      <x:c r="F46" s="18" t="str">
        <x:v>K</x:v>
      </x:c>
      <x:c r="G46" s="18" t="str">
        <x:v>X_WK</x:v>
      </x:c>
      <x:c r="H46" s="21" t="n">
        <x:f>PRODUCT(VLOOKUP(C46,$A$29:$F$42,2,FALSE),VLOOKUP(D46,$A$29:$F$42,3,FALSE),VLOOKUP(E46,$A$29:$F$42,4,FALSE),VLOOKUP(F46,$A$29:$F$42,5,FALSE),VLOOKUP(G46,$A$29:$F$42,6,FALSE))</x:f>
        <x:v>405</x:v>
      </x:c>
      <x:c r="I46" s="22" t="n">
        <x:f>H46/$N$5</x:f>
        <x:v>0.0001265625</x:v>
      </x:c>
      <x:c r="J46" s="18" t="n">
        <x:f>INDEX($I$6:$K$11,MATCH(A46,$H$6:$H$11,0),MATCH(B46&amp;"連線",$I$5:$K$5,0))</x:f>
        <x:v>30</x:v>
      </x:c>
      <x:c r="K46" s="22" t="n">
        <x:f>I46*J46</x:f>
        <x:v>0.003796875</x:v>
      </x:c>
      <x:c r="L46" s="18" t="str">
        <x:v>只算圖案本身，不把 Wild 加入圖案次數</x:v>
      </x:c>
      <x:c r="M46" s="18"/>
      <x:c r="N46" s="18"/>
    </x:row>
    <x:row r="47">
      <x:c r="A47" s="18" t="str">
        <x:v>K</x:v>
      </x:c>
      <x:c r="B47" s="18" t="n">
        <x:v>3</x:v>
      </x:c>
      <x:c r="C47" s="18" t="str">
        <x:v>K</x:v>
      </x:c>
      <x:c r="D47" s="18" t="str">
        <x:v>K</x:v>
      </x:c>
      <x:c r="E47" s="18" t="str">
        <x:v>K</x:v>
      </x:c>
      <x:c r="F47" s="18" t="str">
        <x:v>X_WK</x:v>
      </x:c>
      <x:c r="G47" s="18" t="str">
        <x:v>any</x:v>
      </x:c>
      <x:c r="H47" s="21" t="n">
        <x:f>PRODUCT(VLOOKUP(C47,$A$29:$F$42,2,FALSE),VLOOKUP(D47,$A$29:$F$42,3,FALSE),VLOOKUP(E47,$A$29:$F$42,4,FALSE),VLOOKUP(F47,$A$29:$F$42,5,FALSE),VLOOKUP(G47,$A$29:$F$42,6,FALSE))</x:f>
        <x:v>2700</x:v>
      </x:c>
      <x:c r="I47" s="22" t="n">
        <x:f>H47/$N$5</x:f>
        <x:v>0.00084375</x:v>
      </x:c>
      <x:c r="J47" s="18" t="n">
        <x:f>INDEX($I$6:$K$11,MATCH(A47,$H$6:$H$11,0),MATCH(B47&amp;"連線",$I$5:$K$5,0))</x:f>
        <x:v>5</x:v>
      </x:c>
      <x:c r="K47" s="22" t="n">
        <x:f>I47*J47</x:f>
        <x:v>0.00421875</x:v>
      </x:c>
      <x:c r="L47" s="18" t="str">
        <x:v>只算圖案本身，不把 Wild 加入圖案次數</x:v>
      </x:c>
      <x:c r="M47" s="18"/>
      <x:c r="N47" s="18"/>
    </x:row>
    <x:row r="48">
      <x:c r="A48" s="18" t="str">
        <x:v>Q</x:v>
      </x:c>
      <x:c r="B48" s="18" t="n">
        <x:v>5</x:v>
      </x:c>
      <x:c r="C48" s="18" t="str">
        <x:v>Q</x:v>
      </x:c>
      <x:c r="D48" s="18" t="str">
        <x:v>Q</x:v>
      </x:c>
      <x:c r="E48" s="18" t="str">
        <x:v>Q</x:v>
      </x:c>
      <x:c r="F48" s="18" t="str">
        <x:v>Q</x:v>
      </x:c>
      <x:c r="G48" s="18" t="str">
        <x:v>Q</x:v>
      </x:c>
      <x:c r="H48" s="21" t="n">
        <x:f>PRODUCT(VLOOKUP(C48,$A$29:$F$42,2,FALSE),VLOOKUP(D48,$A$29:$F$42,3,FALSE),VLOOKUP(E48,$A$29:$F$42,4,FALSE),VLOOKUP(F48,$A$29:$F$42,5,FALSE),VLOOKUP(G48,$A$29:$F$42,6,FALSE))</x:f>
        <x:v>162</x:v>
      </x:c>
      <x:c r="I48" s="22" t="n">
        <x:f>H48/$N$5</x:f>
        <x:v>0.000050625</x:v>
      </x:c>
      <x:c r="J48" s="18" t="n">
        <x:f>INDEX($I$6:$K$11,MATCH(A48,$H$6:$H$11,0),MATCH(B48&amp;"連線",$I$5:$K$5,0))</x:f>
        <x:v>100</x:v>
      </x:c>
      <x:c r="K48" s="22" t="n">
        <x:f>I48*J48</x:f>
        <x:v>0.005062499999999999</x:v>
      </x:c>
      <x:c r="L48" s="18" t="str">
        <x:v>只算圖案本身，不把 Wild 加入圖案次數</x:v>
      </x:c>
      <x:c r="M48" s="18"/>
      <x:c r="N48" s="18"/>
    </x:row>
    <x:row r="49">
      <x:c r="A49" s="18" t="str">
        <x:v>Q</x:v>
      </x:c>
      <x:c r="B49" s="18" t="n">
        <x:v>4</x:v>
      </x:c>
      <x:c r="C49" s="18" t="str">
        <x:v>Q</x:v>
      </x:c>
      <x:c r="D49" s="18" t="str">
        <x:v>Q</x:v>
      </x:c>
      <x:c r="E49" s="18" t="str">
        <x:v>Q</x:v>
      </x:c>
      <x:c r="F49" s="18" t="str">
        <x:v>Q</x:v>
      </x:c>
      <x:c r="G49" s="18" t="str">
        <x:v>X_WQ</x:v>
      </x:c>
      <x:c r="H49" s="21" t="n">
        <x:f>PRODUCT(VLOOKUP(C49,$A$29:$F$42,2,FALSE),VLOOKUP(D49,$A$29:$F$42,3,FALSE),VLOOKUP(E49,$A$29:$F$42,4,FALSE),VLOOKUP(F49,$A$29:$F$42,5,FALSE),VLOOKUP(G49,$A$29:$F$42,6,FALSE))</x:f>
        <x:v>810</x:v>
      </x:c>
      <x:c r="I49" s="22" t="n">
        <x:f>H49/$N$5</x:f>
        <x:v>0.000253125</x:v>
      </x:c>
      <x:c r="J49" s="18" t="n">
        <x:f>INDEX($I$6:$K$11,MATCH(A49,$H$6:$H$11,0),MATCH(B49&amp;"連線",$I$5:$K$5,0))</x:f>
        <x:v>25</x:v>
      </x:c>
      <x:c r="K49" s="22" t="n">
        <x:f>I49*J49</x:f>
        <x:v>0.0063281249999999995</x:v>
      </x:c>
      <x:c r="L49" s="18" t="str">
        <x:v>只算圖案本身，不把 Wild 加入圖案次數</x:v>
      </x:c>
      <x:c r="M49" s="18"/>
      <x:c r="N49" s="18"/>
    </x:row>
    <x:row r="50">
      <x:c r="A50" s="18" t="str">
        <x:v>Q</x:v>
      </x:c>
      <x:c r="B50" s="18" t="n">
        <x:v>3</x:v>
      </x:c>
      <x:c r="C50" s="18" t="str">
        <x:v>Q</x:v>
      </x:c>
      <x:c r="D50" s="18" t="str">
        <x:v>Q</x:v>
      </x:c>
      <x:c r="E50" s="18" t="str">
        <x:v>Q</x:v>
      </x:c>
      <x:c r="F50" s="18" t="str">
        <x:v>X_WQ</x:v>
      </x:c>
      <x:c r="G50" s="18" t="str">
        <x:v>any</x:v>
      </x:c>
      <x:c r="H50" s="21" t="n">
        <x:f>PRODUCT(VLOOKUP(C50,$A$29:$F$42,2,FALSE),VLOOKUP(D50,$A$29:$F$42,3,FALSE),VLOOKUP(E50,$A$29:$F$42,4,FALSE),VLOOKUP(F50,$A$29:$F$42,5,FALSE),VLOOKUP(G50,$A$29:$F$42,6,FALSE))</x:f>
        <x:v>5400</x:v>
      </x:c>
      <x:c r="I50" s="22" t="n">
        <x:f>H50/$N$5</x:f>
        <x:v>0.0016875</x:v>
      </x:c>
      <x:c r="J50" s="18" t="n">
        <x:f>INDEX($I$6:$K$11,MATCH(A50,$H$6:$H$11,0),MATCH(B50&amp;"連線",$I$5:$K$5,0))</x:f>
        <x:v>5</x:v>
      </x:c>
      <x:c r="K50" s="22" t="n">
        <x:f>I50*J50</x:f>
        <x:v>0.0084375</x:v>
      </x:c>
      <x:c r="L50" s="18" t="str">
        <x:v>只算圖案本身，不把 Wild 加入圖案次數</x:v>
      </x:c>
      <x:c r="M50" s="18"/>
      <x:c r="N50" s="18"/>
    </x:row>
    <x:row r="51">
      <x:c r="A51" s="18" t="str">
        <x:v>J</x:v>
      </x:c>
      <x:c r="B51" s="18" t="n">
        <x:v>5</x:v>
      </x:c>
      <x:c r="C51" s="18" t="str">
        <x:v>J</x:v>
      </x:c>
      <x:c r="D51" s="18" t="str">
        <x:v>J</x:v>
      </x:c>
      <x:c r="E51" s="18" t="str">
        <x:v>J</x:v>
      </x:c>
      <x:c r="F51" s="18" t="str">
        <x:v>J</x:v>
      </x:c>
      <x:c r="G51" s="18" t="str">
        <x:v>J</x:v>
      </x:c>
      <x:c r="H51" s="21" t="n">
        <x:f>PRODUCT(VLOOKUP(C51,$A$29:$F$42,2,FALSE),VLOOKUP(D51,$A$29:$F$42,3,FALSE),VLOOKUP(E51,$A$29:$F$42,4,FALSE),VLOOKUP(F51,$A$29:$F$42,5,FALSE),VLOOKUP(G51,$A$29:$F$42,6,FALSE))</x:f>
        <x:v>1280</x:v>
      </x:c>
      <x:c r="I51" s="22" t="n">
        <x:f>H51/$N$5</x:f>
        <x:v>0.0004</x:v>
      </x:c>
      <x:c r="J51" s="18" t="n">
        <x:f>INDEX($I$6:$K$11,MATCH(A51,$H$6:$H$11,0),MATCH(B51&amp;"連線",$I$5:$K$5,0))</x:f>
        <x:v>75</x:v>
      </x:c>
      <x:c r="K51" s="22" t="n">
        <x:f>I51*J51</x:f>
        <x:v>0.030000000000000002</x:v>
      </x:c>
      <x:c r="L51" s="18" t="str">
        <x:v>只算圖案本身，不把 Wild 加入圖案次數</x:v>
      </x:c>
      <x:c r="M51" s="18"/>
      <x:c r="N51" s="18"/>
    </x:row>
    <x:row r="52">
      <x:c r="A52" s="18" t="str">
        <x:v>J</x:v>
      </x:c>
      <x:c r="B52" s="18" t="n">
        <x:v>4</x:v>
      </x:c>
      <x:c r="C52" s="18" t="str">
        <x:v>J</x:v>
      </x:c>
      <x:c r="D52" s="18" t="str">
        <x:v>J</x:v>
      </x:c>
      <x:c r="E52" s="18" t="str">
        <x:v>J</x:v>
      </x:c>
      <x:c r="F52" s="18" t="str">
        <x:v>J</x:v>
      </x:c>
      <x:c r="G52" s="18" t="str">
        <x:v>X_WJ</x:v>
      </x:c>
      <x:c r="H52" s="21" t="n">
        <x:f>PRODUCT(VLOOKUP(C52,$A$29:$F$42,2,FALSE),VLOOKUP(D52,$A$29:$F$42,3,FALSE),VLOOKUP(E52,$A$29:$F$42,4,FALSE),VLOOKUP(F52,$A$29:$F$42,5,FALSE),VLOOKUP(G52,$A$29:$F$42,6,FALSE))</x:f>
        <x:v>4480</x:v>
      </x:c>
      <x:c r="I52" s="22" t="n">
        <x:f>H52/$N$5</x:f>
        <x:v>0.0014</x:v>
      </x:c>
      <x:c r="J52" s="18" t="n">
        <x:f>INDEX($I$6:$K$11,MATCH(A52,$H$6:$H$11,0),MATCH(B52&amp;"連線",$I$5:$K$5,0))</x:f>
        <x:v>20</x:v>
      </x:c>
      <x:c r="K52" s="22" t="n">
        <x:f>I52*J52</x:f>
        <x:v>0.028</x:v>
      </x:c>
      <x:c r="L52" s="18" t="str">
        <x:v>只算圖案本身，不把 Wild 加入圖案次數</x:v>
      </x:c>
      <x:c r="M52" s="18"/>
      <x:c r="N52" s="18"/>
    </x:row>
    <x:row r="53">
      <x:c r="A53" s="18" t="str">
        <x:v>J</x:v>
      </x:c>
      <x:c r="B53" s="18" t="n">
        <x:v>3</x:v>
      </x:c>
      <x:c r="C53" s="18" t="str">
        <x:v>J</x:v>
      </x:c>
      <x:c r="D53" s="18" t="str">
        <x:v>J</x:v>
      </x:c>
      <x:c r="E53" s="18" t="str">
        <x:v>J</x:v>
      </x:c>
      <x:c r="F53" s="18" t="str">
        <x:v>X_WJ</x:v>
      </x:c>
      <x:c r="G53" s="18" t="str">
        <x:v>any</x:v>
      </x:c>
      <x:c r="H53" s="21" t="n">
        <x:f>PRODUCT(VLOOKUP(C53,$A$29:$F$42,2,FALSE),VLOOKUP(D53,$A$29:$F$42,3,FALSE),VLOOKUP(E53,$A$29:$F$42,4,FALSE),VLOOKUP(F53,$A$29:$F$42,5,FALSE),VLOOKUP(G53,$A$29:$F$42,6,FALSE))</x:f>
        <x:v>22400</x:v>
      </x:c>
      <x:c r="I53" s="22" t="n">
        <x:f>H53/$N$5</x:f>
        <x:v>0.007</x:v>
      </x:c>
      <x:c r="J53" s="18" t="n">
        <x:f>INDEX($I$6:$K$11,MATCH(A53,$H$6:$H$11,0),MATCH(B53&amp;"連線",$I$5:$K$5,0))</x:f>
        <x:v>5</x:v>
      </x:c>
      <x:c r="K53" s="22" t="n">
        <x:f>I53*J53</x:f>
        <x:v>0.035</x:v>
      </x:c>
      <x:c r="L53" s="18" t="str">
        <x:v>只算圖案本身，不把 Wild 加入圖案次數</x:v>
      </x:c>
      <x:c r="M53" s="18"/>
      <x:c r="N53" s="18"/>
    </x:row>
    <x:row r="54">
      <x:c r="A54" s="18" t="str">
        <x:v>10</x:v>
      </x:c>
      <x:c r="B54" s="18" t="n">
        <x:v>5</x:v>
      </x:c>
      <x:c r="C54" s="18" t="str">
        <x:v>10</x:v>
      </x:c>
      <x:c r="D54" s="18" t="str">
        <x:v>10</x:v>
      </x:c>
      <x:c r="E54" s="18" t="str">
        <x:v>10</x:v>
      </x:c>
      <x:c r="F54" s="18" t="str">
        <x:v>10</x:v>
      </x:c>
      <x:c r="G54" s="18" t="str">
        <x:v>10</x:v>
      </x:c>
      <x:c r="H54" s="21" t="n">
        <x:f>PRODUCT(VLOOKUP(C54,$A$29:$F$42,2,FALSE),VLOOKUP(D54,$A$29:$F$42,3,FALSE),VLOOKUP(E54,$A$29:$F$42,4,FALSE),VLOOKUP(F54,$A$29:$F$42,5,FALSE),VLOOKUP(G54,$A$29:$F$42,6,FALSE))</x:f>
        <x:v>960</x:v>
      </x:c>
      <x:c r="I54" s="22" t="n">
        <x:f>H54/$N$5</x:f>
        <x:v>0.0003</x:v>
      </x:c>
      <x:c r="J54" s="18" t="n">
        <x:f>INDEX($I$6:$K$11,MATCH(A54,$H$6:$H$11,0),MATCH(B54&amp;"連線",$I$5:$K$5,0))</x:f>
        <x:v>75</x:v>
      </x:c>
      <x:c r="K54" s="22" t="n">
        <x:f>I54*J54</x:f>
        <x:v>0.0225</x:v>
      </x:c>
      <x:c r="L54" s="18" t="str">
        <x:v>只算圖案本身，不把 Wild 加入圖案次數</x:v>
      </x:c>
      <x:c r="M54" s="18"/>
      <x:c r="N54" s="18"/>
    </x:row>
    <x:row r="55">
      <x:c r="A55" s="18" t="str">
        <x:v>10</x:v>
      </x:c>
      <x:c r="B55" s="18" t="n">
        <x:v>4</x:v>
      </x:c>
      <x:c r="C55" s="18" t="str">
        <x:v>10</x:v>
      </x:c>
      <x:c r="D55" s="18" t="str">
        <x:v>10</x:v>
      </x:c>
      <x:c r="E55" s="18" t="str">
        <x:v>10</x:v>
      </x:c>
      <x:c r="F55" s="18" t="str">
        <x:v>10</x:v>
      </x:c>
      <x:c r="G55" s="18" t="str">
        <x:v>X_W10</x:v>
      </x:c>
      <x:c r="H55" s="21" t="n">
        <x:f>PRODUCT(VLOOKUP(C55,$A$29:$F$42,2,FALSE),VLOOKUP(D55,$A$29:$F$42,3,FALSE),VLOOKUP(E55,$A$29:$F$42,4,FALSE),VLOOKUP(F55,$A$29:$F$42,5,FALSE),VLOOKUP(G55,$A$29:$F$42,6,FALSE))</x:f>
        <x:v>3360</x:v>
      </x:c>
      <x:c r="I55" s="22" t="n">
        <x:f>H55/$N$5</x:f>
        <x:v>0.00105</x:v>
      </x:c>
      <x:c r="J55" s="18" t="n">
        <x:f>INDEX($I$6:$K$11,MATCH(A55,$H$6:$H$11,0),MATCH(B55&amp;"連線",$I$5:$K$5,0))</x:f>
        <x:v>20</x:v>
      </x:c>
      <x:c r="K55" s="22" t="n">
        <x:f>I55*J55</x:f>
        <x:v>0.020999999999999998</x:v>
      </x:c>
      <x:c r="L55" s="18" t="str">
        <x:v>只算圖案本身，不把 Wild 加入圖案次數</x:v>
      </x:c>
      <x:c r="M55" s="18"/>
      <x:c r="N55" s="18"/>
    </x:row>
    <x:row r="56">
      <x:c r="A56" s="18" t="str">
        <x:v>10</x:v>
      </x:c>
      <x:c r="B56" s="18" t="n">
        <x:v>3</x:v>
      </x:c>
      <x:c r="C56" s="18" t="str">
        <x:v>10</x:v>
      </x:c>
      <x:c r="D56" s="18" t="str">
        <x:v>10</x:v>
      </x:c>
      <x:c r="E56" s="18" t="str">
        <x:v>10</x:v>
      </x:c>
      <x:c r="F56" s="18" t="str">
        <x:v>X_W10</x:v>
      </x:c>
      <x:c r="G56" s="18" t="str">
        <x:v>any</x:v>
      </x:c>
      <x:c r="H56" s="21" t="n">
        <x:f>PRODUCT(VLOOKUP(C56,$A$29:$F$42,2,FALSE),VLOOKUP(D56,$A$29:$F$42,3,FALSE),VLOOKUP(E56,$A$29:$F$42,4,FALSE),VLOOKUP(F56,$A$29:$F$42,5,FALSE),VLOOKUP(G56,$A$29:$F$42,6,FALSE))</x:f>
        <x:v>16800</x:v>
      </x:c>
      <x:c r="I56" s="22" t="n">
        <x:f>H56/$N$5</x:f>
        <x:v>0.00525</x:v>
      </x:c>
      <x:c r="J56" s="18" t="n">
        <x:f>INDEX($I$6:$K$11,MATCH(A56,$H$6:$H$11,0),MATCH(B56&amp;"連線",$I$5:$K$5,0))</x:f>
        <x:v>5</x:v>
      </x:c>
      <x:c r="K56" s="22" t="n">
        <x:f>I56*J56</x:f>
        <x:v>0.026250000000000002</x:v>
      </x:c>
      <x:c r="L56" s="18" t="str">
        <x:v>只算圖案本身，不把 Wild 加入圖案次數</x:v>
      </x:c>
      <x:c r="M56" s="18"/>
      <x:c r="N56" s="18"/>
    </x:row>
    <x:row r="57">
      <x:c r="A57" s="18" t="str">
        <x:v>9</x:v>
      </x:c>
      <x:c r="B57" s="18" t="n">
        <x:v>5</x:v>
      </x:c>
      <x:c r="C57" s="18" t="str">
        <x:v>9</x:v>
      </x:c>
      <x:c r="D57" s="18" t="str">
        <x:v>9</x:v>
      </x:c>
      <x:c r="E57" s="18" t="str">
        <x:v>9</x:v>
      </x:c>
      <x:c r="F57" s="18" t="str">
        <x:v>9</x:v>
      </x:c>
      <x:c r="G57" s="18" t="str">
        <x:v>9</x:v>
      </x:c>
      <x:c r="H57" s="21" t="n">
        <x:f>PRODUCT(VLOOKUP(C57,$A$29:$F$42,2,FALSE),VLOOKUP(D57,$A$29:$F$42,3,FALSE),VLOOKUP(E57,$A$29:$F$42,4,FALSE),VLOOKUP(F57,$A$29:$F$42,5,FALSE),VLOOKUP(G57,$A$29:$F$42,6,FALSE))</x:f>
        <x:v>1536</x:v>
      </x:c>
      <x:c r="I57" s="22" t="n">
        <x:f>H57/$N$5</x:f>
        <x:v>0.00048</x:v>
      </x:c>
      <x:c r="J57" s="18" t="n">
        <x:f>INDEX($I$6:$K$11,MATCH(A57,$H$6:$H$11,0),MATCH(B57&amp;"連線",$I$5:$K$5,0))</x:f>
        <x:v>50</x:v>
      </x:c>
      <x:c r="K57" s="22" t="n">
        <x:f>I57*J57</x:f>
        <x:v>0.024</x:v>
      </x:c>
      <x:c r="L57" s="18" t="str">
        <x:v>只算圖案本身，不把 Wild 加入圖案次數</x:v>
      </x:c>
      <x:c r="M57" s="18"/>
      <x:c r="N57" s="18"/>
    </x:row>
    <x:row r="58">
      <x:c r="A58" s="18" t="str">
        <x:v>9</x:v>
      </x:c>
      <x:c r="B58" s="18" t="n">
        <x:v>4</x:v>
      </x:c>
      <x:c r="C58" s="18" t="str">
        <x:v>9</x:v>
      </x:c>
      <x:c r="D58" s="18" t="str">
        <x:v>9</x:v>
      </x:c>
      <x:c r="E58" s="18" t="str">
        <x:v>9</x:v>
      </x:c>
      <x:c r="F58" s="18" t="str">
        <x:v>9</x:v>
      </x:c>
      <x:c r="G58" s="18" t="str">
        <x:v>X_W9</x:v>
      </x:c>
      <x:c r="H58" s="21" t="n">
        <x:f>PRODUCT(VLOOKUP(C58,$A$29:$F$42,2,FALSE),VLOOKUP(D58,$A$29:$F$42,3,FALSE),VLOOKUP(E58,$A$29:$F$42,4,FALSE),VLOOKUP(F58,$A$29:$F$42,5,FALSE),VLOOKUP(G58,$A$29:$F$42,6,FALSE))</x:f>
        <x:v>5376</x:v>
      </x:c>
      <x:c r="I58" s="22" t="n">
        <x:f>H58/$N$5</x:f>
        <x:v>0.00168</x:v>
      </x:c>
      <x:c r="J58" s="18" t="n">
        <x:f>INDEX($I$6:$K$11,MATCH(A58,$H$6:$H$11,0),MATCH(B58&amp;"連線",$I$5:$K$5,0))</x:f>
        <x:v>10</x:v>
      </x:c>
      <x:c r="K58" s="22" t="n">
        <x:f>I58*J58</x:f>
        <x:v>0.016800000000000002</x:v>
      </x:c>
      <x:c r="L58" s="18" t="str">
        <x:v>只算圖案本身，不把 Wild 加入圖案次數</x:v>
      </x:c>
      <x:c r="M58" s="18"/>
      <x:c r="N58" s="18"/>
    </x:row>
    <x:row r="59">
      <x:c r="A59" s="18" t="str">
        <x:v>9</x:v>
      </x:c>
      <x:c r="B59" s="18" t="n">
        <x:v>3</x:v>
      </x:c>
      <x:c r="C59" s="18" t="str">
        <x:v>9</x:v>
      </x:c>
      <x:c r="D59" s="18" t="str">
        <x:v>9</x:v>
      </x:c>
      <x:c r="E59" s="18" t="str">
        <x:v>9</x:v>
      </x:c>
      <x:c r="F59" s="18" t="str">
        <x:v>X_W9</x:v>
      </x:c>
      <x:c r="G59" s="18" t="str">
        <x:v>any</x:v>
      </x:c>
      <x:c r="H59" s="21" t="n">
        <x:f>PRODUCT(VLOOKUP(C59,$A$29:$F$42,2,FALSE),VLOOKUP(D59,$A$29:$F$42,3,FALSE),VLOOKUP(E59,$A$29:$F$42,4,FALSE),VLOOKUP(F59,$A$29:$F$42,5,FALSE),VLOOKUP(G59,$A$29:$F$42,6,FALSE))</x:f>
        <x:v>26880</x:v>
      </x:c>
      <x:c r="I59" s="22" t="n">
        <x:f>H59/$N$5</x:f>
        <x:v>0.0084</x:v>
      </x:c>
      <x:c r="J59" s="18" t="n">
        <x:f>INDEX($I$6:$K$11,MATCH(A59,$H$6:$H$11,0),MATCH(B59&amp;"連線",$I$5:$K$5,0))</x:f>
        <x:v>5</x:v>
      </x:c>
      <x:c r="K59" s="22" t="n">
        <x:f>I59*J59</x:f>
        <x:v>0.041999999999999996</x:v>
      </x:c>
      <x:c r="L59" s="18" t="str">
        <x:v>只算圖案本身，不把 Wild 加入圖案次數</x:v>
      </x:c>
      <x:c r="M59" s="18"/>
      <x:c r="N59" s="18"/>
    </x:row>
    <x:row r="63">
      <x:c r="A63" s="10" t="str">
        <x:v>包含 Wild 替代的一般圖案連線</x:v>
      </x:c>
      <x:c r="B63" s="10" t="str">
        <x:v>包含 Wild 替代的一般圖案連線</x:v>
      </x:c>
      <x:c r="C63" s="10" t="str">
        <x:v>包含 Wild 替代的一般圖案連線</x:v>
      </x:c>
      <x:c r="D63" s="10" t="str">
        <x:v>包含 Wild 替代的一般圖案連線</x:v>
      </x:c>
      <x:c r="E63" s="10" t="str">
        <x:v>包含 Wild 替代的一般圖案連線</x:v>
      </x:c>
      <x:c r="F63" s="10" t="str">
        <x:v>包含 Wild 替代的一般圖案連線</x:v>
      </x:c>
      <x:c r="G63" s="10" t="str">
        <x:v>包含 Wild 替代的一般圖案連線</x:v>
      </x:c>
      <x:c r="H63" s="10" t="str">
        <x:v>包含 Wild 替代的一般圖案連線</x:v>
      </x:c>
      <x:c r="I63" s="10" t="str">
        <x:v>包含 Wild 替代的一般圖案連線</x:v>
      </x:c>
      <x:c r="J63" s="10" t="str">
        <x:v>包含 Wild 替代的一般圖案連線</x:v>
      </x:c>
      <x:c r="K63" s="10" t="str">
        <x:v>包含 Wild 替代的一般圖案連線</x:v>
      </x:c>
      <x:c r="L63" s="10" t="str">
        <x:v>包含 Wild 替代的一般圖案連線</x:v>
      </x:c>
      <x:c r="M63" s="10" t="str">
        <x:v>包含 Wild 替代的一般圖案連線</x:v>
      </x:c>
      <x:c r="N63" s="10" t="str">
        <x:v>包含 Wild 替代的一般圖案連線</x:v>
      </x:c>
      <x:c r="O63" s="10" t="str">
        <x:v>包含 Wild 替代的一般圖案連線</x:v>
      </x:c>
      <x:c r="P63" s="10" t="str">
        <x:v>包含 Wild 替代的一般圖案連線</x:v>
      </x:c>
      <x:c r="Q63" s="10" t="str">
        <x:v>包含 Wild 替代的一般圖案連線</x:v>
      </x:c>
      <x:c r="R63" s="10" t="str">
        <x:v>包含 Wild 替代的一般圖案連線</x:v>
      </x:c>
      <x:c r="S63" s="10" t="str">
        <x:v>包含 Wild 替代的一般圖案連線</x:v>
      </x:c>
      <x:c r="T63" s="10" t="str">
        <x:v>包含 Wild 替代的一般圖案連線</x:v>
      </x:c>
      <x:c r="U63" s="10" t="str">
        <x:v>包含 Wild 替代的一般圖案連線</x:v>
      </x:c>
      <x:c r="V63" s="10" t="str">
        <x:v>包含 Wild 替代的一般圖案連線</x:v>
      </x:c>
      <x:c r="W63" s="10" t="str">
        <x:v>包含 Wild 替代的一般圖案連線</x:v>
      </x:c>
      <x:c r="X63" s="10" t="str">
        <x:v>包含 Wild 替代的一般圖案連線</x:v>
      </x:c>
      <x:c r="Y63" s="10" t="str">
        <x:v>包含 Wild 替代的一般圖案連線</x:v>
      </x:c>
      <x:c r="Z63" s="10" t="str">
        <x:v>包含 Wild 替代的一般圖案連線</x:v>
      </x:c>
    </x:row>
    <x:row r="64">
      <x:c r="A64" s="16" t="str">
        <x:v>圖案</x:v>
      </x:c>
      <x:c r="B64" s="16" t="str">
        <x:v>連線數</x:v>
      </x:c>
      <x:c r="C64" s="16" t="str">
        <x:v>前導W數</x:v>
      </x:c>
      <x:c r="D64" s="16" t="str">
        <x:v>轉輪1</x:v>
      </x:c>
      <x:c r="E64" s="16" t="str">
        <x:v>轉輪2</x:v>
      </x:c>
      <x:c r="F64" s="16" t="str">
        <x:v>轉輪3</x:v>
      </x:c>
      <x:c r="G64" s="16" t="str">
        <x:v>轉輪4</x:v>
      </x:c>
      <x:c r="H64" s="16" t="str">
        <x:v>轉輪5</x:v>
      </x:c>
      <x:c r="I64" s="16" t="str">
        <x:v>出現次數</x:v>
      </x:c>
      <x:c r="J64" s="16" t="str">
        <x:v>出現機率</x:v>
      </x:c>
      <x:c r="K64" s="16" t="str">
        <x:v>得分數</x:v>
      </x:c>
      <x:c r="L64" s="16" t="str">
        <x:v>RTP</x:v>
      </x:c>
      <x:c r="M64" s="16" t="str">
        <x:v>判斷邏輯</x:v>
      </x:c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8" t="str">
        <x:v>K</x:v>
      </x:c>
      <x:c r="B65" s="18" t="n">
        <x:v>5</x:v>
      </x:c>
      <x:c r="C65" s="18" t="n">
        <x:f>IF(D65&lt;&gt;"W",0,IF(E65&lt;&gt;"W",1,IF(F65&lt;&gt;"W",2,IF(G65&lt;&gt;"W",3,IF(H65&lt;&gt;"W",4,5)))))</x:f>
        <x:v>1</x:v>
      </x:c>
      <x:c r="D65" s="18" t="str">
        <x:v>W</x:v>
      </x:c>
      <x:c r="E65" s="18" t="str">
        <x:v>K</x:v>
      </x:c>
      <x:c r="F65" s="18" t="str">
        <x:v>K</x:v>
      </x:c>
      <x:c r="G65" s="18" t="str">
        <x:v>K</x:v>
      </x:c>
      <x:c r="H65" s="18" t="str">
        <x:v>K</x:v>
      </x:c>
      <x:c r="I65" s="21" t="n">
        <x:f>PRODUCT(VLOOKUP(D65,$A$29:$F$42,2,FALSE),VLOOKUP(E65,$A$29:$F$42,3,FALSE),VLOOKUP(F65,$A$29:$F$42,4,FALSE),VLOOKUP(G65,$A$29:$F$42,5,FALSE),VLOOKUP(H65,$A$29:$F$42,6,FALSE))</x:f>
        <x:v>162</x:v>
      </x:c>
      <x:c r="J65" s="22" t="n">
        <x:f>I65/$N$5</x:f>
        <x:v>0.000050625</x:v>
      </x:c>
      <x:c r="K65" s="18" t="n">
        <x:f>MAX(INDEX($I$6:$K$11,MATCH(A65,$H$6:$H$11,0),MATCH(B65&amp;"連線",$I$5:$K$5,0)),IF(C65&gt;=3,INDEX($I$6:$K$11,MATCH("W",$H$6:$H$11,0),MATCH(C65&amp;"連線",$I$5:$K$5,0)),0))</x:f>
        <x:v>100</x:v>
      </x:c>
      <x:c r="L65" s="22" t="n">
        <x:f>J65*K65</x:f>
        <x:v>0.005062499999999999</x:v>
      </x:c>
      <x:c r="M65" s="18" t="str">
        <x:f>IF(K65&gt;INDEX($I$6:$K$11,MATCH(A65,$H$6:$H$11,0),MATCH(B65&amp;"連線",$I$5:$K$5,0)),"取 Wild 連線較高賠率","取一般圖案連線賠率")</x:f>
        <x:v>取一般圖案連線賠率</x:v>
      </x:c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18" t="str">
        <x:v>K</x:v>
      </x:c>
      <x:c r="B66" s="18" t="n">
        <x:v>5</x:v>
      </x:c>
      <x:c r="C66" s="18" t="n">
        <x:f>IF(D66&lt;&gt;"W",0,IF(E66&lt;&gt;"W",1,IF(F66&lt;&gt;"W",2,IF(G66&lt;&gt;"W",3,IF(H66&lt;&gt;"W",4,5)))))</x:f>
        <x:v>0</x:v>
      </x:c>
      <x:c r="D66" s="18" t="str">
        <x:v>K</x:v>
      </x:c>
      <x:c r="E66" s="18" t="str">
        <x:v>W</x:v>
      </x:c>
      <x:c r="F66" s="18" t="str">
        <x:v>K</x:v>
      </x:c>
      <x:c r="G66" s="18" t="str">
        <x:v>K</x:v>
      </x:c>
      <x:c r="H66" s="18" t="str">
        <x:v>K</x:v>
      </x:c>
      <x:c r="I66" s="21" t="n">
        <x:f>PRODUCT(VLOOKUP(D66,$A$29:$F$42,2,FALSE),VLOOKUP(E66,$A$29:$F$42,3,FALSE),VLOOKUP(F66,$A$29:$F$42,4,FALSE),VLOOKUP(G66,$A$29:$F$42,5,FALSE),VLOOKUP(H66,$A$29:$F$42,6,FALSE))</x:f>
        <x:v>54</x:v>
      </x:c>
      <x:c r="J66" s="22" t="n">
        <x:f>I66/$N$5</x:f>
        <x:v>0.000016875</x:v>
      </x:c>
      <x:c r="K66" s="18" t="n">
        <x:f>MAX(INDEX($I$6:$K$11,MATCH(A66,$H$6:$H$11,0),MATCH(B66&amp;"連線",$I$5:$K$5,0)),IF(C66&gt;=3,INDEX($I$6:$K$11,MATCH("W",$H$6:$H$11,0),MATCH(C66&amp;"連線",$I$5:$K$5,0)),0))</x:f>
        <x:v>100</x:v>
      </x:c>
      <x:c r="L66" s="22" t="n">
        <x:f>J66*K66</x:f>
        <x:v>0.0016875</x:v>
      </x:c>
      <x:c r="M66" s="18" t="str">
        <x:f>IF(K66&gt;INDEX($I$6:$K$11,MATCH(A66,$H$6:$H$11,0),MATCH(B66&amp;"連線",$I$5:$K$5,0)),"取 Wild 連線較高賠率","取一般圖案連線賠率")</x:f>
        <x:v>取一般圖案連線賠率</x:v>
      </x:c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18" t="str">
        <x:v>K</x:v>
      </x:c>
      <x:c r="B67" s="18" t="n">
        <x:v>5</x:v>
      </x:c>
      <x:c r="C67" s="18" t="n">
        <x:f>IF(D67&lt;&gt;"W",0,IF(E67&lt;&gt;"W",1,IF(F67&lt;&gt;"W",2,IF(G67&lt;&gt;"W",3,IF(H67&lt;&gt;"W",4,5)))))</x:f>
        <x:v>0</x:v>
      </x:c>
      <x:c r="D67" s="18" t="str">
        <x:v>K</x:v>
      </x:c>
      <x:c r="E67" s="18" t="str">
        <x:v>K</x:v>
      </x:c>
      <x:c r="F67" s="18" t="str">
        <x:v>W</x:v>
      </x:c>
      <x:c r="G67" s="18" t="str">
        <x:v>K</x:v>
      </x:c>
      <x:c r="H67" s="18" t="str">
        <x:v>K</x:v>
      </x:c>
      <x:c r="I67" s="21" t="n">
        <x:f>PRODUCT(VLOOKUP(D67,$A$29:$F$42,2,FALSE),VLOOKUP(E67,$A$29:$F$42,3,FALSE),VLOOKUP(F67,$A$29:$F$42,4,FALSE),VLOOKUP(G67,$A$29:$F$42,5,FALSE),VLOOKUP(H67,$A$29:$F$42,6,FALSE))</x:f>
        <x:v>54</x:v>
      </x:c>
      <x:c r="J67" s="22" t="n">
        <x:f>I67/$N$5</x:f>
        <x:v>0.000016875</x:v>
      </x:c>
      <x:c r="K67" s="18" t="n">
        <x:f>MAX(INDEX($I$6:$K$11,MATCH(A67,$H$6:$H$11,0),MATCH(B67&amp;"連線",$I$5:$K$5,0)),IF(C67&gt;=3,INDEX($I$6:$K$11,MATCH("W",$H$6:$H$11,0),MATCH(C67&amp;"連線",$I$5:$K$5,0)),0))</x:f>
        <x:v>100</x:v>
      </x:c>
      <x:c r="L67" s="22" t="n">
        <x:f>J67*K67</x:f>
        <x:v>0.0016875</x:v>
      </x:c>
      <x:c r="M67" s="18" t="str">
        <x:f>IF(K67&gt;INDEX($I$6:$K$11,MATCH(A67,$H$6:$H$11,0),MATCH(B67&amp;"連線",$I$5:$K$5,0)),"取 Wild 連線較高賠率","取一般圖案連線賠率")</x:f>
        <x:v>取一般圖案連線賠率</x:v>
      </x:c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18" t="str">
        <x:v>K</x:v>
      </x:c>
      <x:c r="B68" s="18" t="n">
        <x:v>5</x:v>
      </x:c>
      <x:c r="C68" s="18" t="n">
        <x:f>IF(D68&lt;&gt;"W",0,IF(E68&lt;&gt;"W",1,IF(F68&lt;&gt;"W",2,IF(G68&lt;&gt;"W",3,IF(H68&lt;&gt;"W",4,5)))))</x:f>
        <x:v>0</x:v>
      </x:c>
      <x:c r="D68" s="18" t="str">
        <x:v>K</x:v>
      </x:c>
      <x:c r="E68" s="18" t="str">
        <x:v>K</x:v>
      </x:c>
      <x:c r="F68" s="18" t="str">
        <x:v>K</x:v>
      </x:c>
      <x:c r="G68" s="18" t="str">
        <x:v>W</x:v>
      </x:c>
      <x:c r="H68" s="18" t="str">
        <x:v>K</x:v>
      </x:c>
      <x:c r="I68" s="21" t="n">
        <x:f>PRODUCT(VLOOKUP(D68,$A$29:$F$42,2,FALSE),VLOOKUP(E68,$A$29:$F$42,3,FALSE),VLOOKUP(F68,$A$29:$F$42,4,FALSE),VLOOKUP(G68,$A$29:$F$42,5,FALSE),VLOOKUP(H68,$A$29:$F$42,6,FALSE))</x:f>
        <x:v>54</x:v>
      </x:c>
      <x:c r="J68" s="22" t="n">
        <x:f>I68/$N$5</x:f>
        <x:v>0.000016875</x:v>
      </x:c>
      <x:c r="K68" s="18" t="n">
        <x:f>MAX(INDEX($I$6:$K$11,MATCH(A68,$H$6:$H$11,0),MATCH(B68&amp;"連線",$I$5:$K$5,0)),IF(C68&gt;=3,INDEX($I$6:$K$11,MATCH("W",$H$6:$H$11,0),MATCH(C68&amp;"連線",$I$5:$K$5,0)),0))</x:f>
        <x:v>100</x:v>
      </x:c>
      <x:c r="L68" s="22" t="n">
        <x:f>J68*K68</x:f>
        <x:v>0.0016875</x:v>
      </x:c>
      <x:c r="M68" s="18" t="str">
        <x:f>IF(K68&gt;INDEX($I$6:$K$11,MATCH(A68,$H$6:$H$11,0),MATCH(B68&amp;"連線",$I$5:$K$5,0)),"取 Wild 連線較高賠率","取一般圖案連線賠率")</x:f>
        <x:v>取一般圖案連線賠率</x:v>
      </x:c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18" t="str">
        <x:v>K</x:v>
      </x:c>
      <x:c r="B69" s="18" t="n">
        <x:v>5</x:v>
      </x:c>
      <x:c r="C69" s="18" t="n">
        <x:f>IF(D69&lt;&gt;"W",0,IF(E69&lt;&gt;"W",1,IF(F69&lt;&gt;"W",2,IF(G69&lt;&gt;"W",3,IF(H69&lt;&gt;"W",4,5)))))</x:f>
        <x:v>0</x:v>
      </x:c>
      <x:c r="D69" s="18" t="str">
        <x:v>K</x:v>
      </x:c>
      <x:c r="E69" s="18" t="str">
        <x:v>K</x:v>
      </x:c>
      <x:c r="F69" s="18" t="str">
        <x:v>K</x:v>
      </x:c>
      <x:c r="G69" s="18" t="str">
        <x:v>K</x:v>
      </x:c>
      <x:c r="H69" s="18" t="str">
        <x:v>W</x:v>
      </x:c>
      <x:c r="I69" s="21" t="n">
        <x:f>PRODUCT(VLOOKUP(D69,$A$29:$F$42,2,FALSE),VLOOKUP(E69,$A$29:$F$42,3,FALSE),VLOOKUP(F69,$A$29:$F$42,4,FALSE),VLOOKUP(G69,$A$29:$F$42,5,FALSE),VLOOKUP(H69,$A$29:$F$42,6,FALSE))</x:f>
        <x:v>54</x:v>
      </x:c>
      <x:c r="J69" s="22" t="n">
        <x:f>I69/$N$5</x:f>
        <x:v>0.000016875</x:v>
      </x:c>
      <x:c r="K69" s="18" t="n">
        <x:f>MAX(INDEX($I$6:$K$11,MATCH(A69,$H$6:$H$11,0),MATCH(B69&amp;"連線",$I$5:$K$5,0)),IF(C69&gt;=3,INDEX($I$6:$K$11,MATCH("W",$H$6:$H$11,0),MATCH(C69&amp;"連線",$I$5:$K$5,0)),0))</x:f>
        <x:v>100</x:v>
      </x:c>
      <x:c r="L69" s="22" t="n">
        <x:f>J69*K69</x:f>
        <x:v>0.0016875</x:v>
      </x:c>
      <x:c r="M69" s="18" t="str">
        <x:f>IF(K69&gt;INDEX($I$6:$K$11,MATCH(A69,$H$6:$H$11,0),MATCH(B69&amp;"連線",$I$5:$K$5,0)),"取 Wild 連線較高賠率","取一般圖案連線賠率")</x:f>
        <x:v>取一般圖案連線賠率</x:v>
      </x:c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18" t="str">
        <x:v>K</x:v>
      </x:c>
      <x:c r="B70" s="18" t="n">
        <x:v>5</x:v>
      </x:c>
      <x:c r="C70" s="18" t="n">
        <x:f>IF(D70&lt;&gt;"W",0,IF(E70&lt;&gt;"W",1,IF(F70&lt;&gt;"W",2,IF(G70&lt;&gt;"W",3,IF(H70&lt;&gt;"W",4,5)))))</x:f>
        <x:v>2</x:v>
      </x:c>
      <x:c r="D70" s="18" t="str">
        <x:v>W</x:v>
      </x:c>
      <x:c r="E70" s="18" t="str">
        <x:v>W</x:v>
      </x:c>
      <x:c r="F70" s="18" t="str">
        <x:v>K</x:v>
      </x:c>
      <x:c r="G70" s="18" t="str">
        <x:v>K</x:v>
      </x:c>
      <x:c r="H70" s="18" t="str">
        <x:v>K</x:v>
      </x:c>
      <x:c r="I70" s="21" t="n">
        <x:f>PRODUCT(VLOOKUP(D70,$A$29:$F$42,2,FALSE),VLOOKUP(E70,$A$29:$F$42,3,FALSE),VLOOKUP(F70,$A$29:$F$42,4,FALSE),VLOOKUP(G70,$A$29:$F$42,5,FALSE),VLOOKUP(H70,$A$29:$F$42,6,FALSE))</x:f>
        <x:v>108</x:v>
      </x:c>
      <x:c r="J70" s="22" t="n">
        <x:f>I70/$N$5</x:f>
        <x:v>0.00003375</x:v>
      </x:c>
      <x:c r="K70" s="18" t="n">
        <x:f>MAX(INDEX($I$6:$K$11,MATCH(A70,$H$6:$H$11,0),MATCH(B70&amp;"連線",$I$5:$K$5,0)),IF(C70&gt;=3,INDEX($I$6:$K$11,MATCH("W",$H$6:$H$11,0),MATCH(C70&amp;"連線",$I$5:$K$5,0)),0))</x:f>
        <x:v>100</x:v>
      </x:c>
      <x:c r="L70" s="22" t="n">
        <x:f>J70*K70</x:f>
        <x:v>0.003375</x:v>
      </x:c>
      <x:c r="M70" s="18" t="str">
        <x:f>IF(K70&gt;INDEX($I$6:$K$11,MATCH(A70,$H$6:$H$11,0),MATCH(B70&amp;"連線",$I$5:$K$5,0)),"取 Wild 連線較高賠率","取一般圖案連線賠率")</x:f>
        <x:v>取一般圖案連線賠率</x:v>
      </x:c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18" t="str">
        <x:v>K</x:v>
      </x:c>
      <x:c r="B71" s="18" t="n">
        <x:v>5</x:v>
      </x:c>
      <x:c r="C71" s="18" t="n">
        <x:f>IF(D71&lt;&gt;"W",0,IF(E71&lt;&gt;"W",1,IF(F71&lt;&gt;"W",2,IF(G71&lt;&gt;"W",3,IF(H71&lt;&gt;"W",4,5)))))</x:f>
        <x:v>1</x:v>
      </x:c>
      <x:c r="D71" s="18" t="str">
        <x:v>W</x:v>
      </x:c>
      <x:c r="E71" s="18" t="str">
        <x:v>K</x:v>
      </x:c>
      <x:c r="F71" s="18" t="str">
        <x:v>W</x:v>
      </x:c>
      <x:c r="G71" s="18" t="str">
        <x:v>K</x:v>
      </x:c>
      <x:c r="H71" s="18" t="str">
        <x:v>K</x:v>
      </x:c>
      <x:c r="I71" s="21" t="n">
        <x:f>PRODUCT(VLOOKUP(D71,$A$29:$F$42,2,FALSE),VLOOKUP(E71,$A$29:$F$42,3,FALSE),VLOOKUP(F71,$A$29:$F$42,4,FALSE),VLOOKUP(G71,$A$29:$F$42,5,FALSE),VLOOKUP(H71,$A$29:$F$42,6,FALSE))</x:f>
        <x:v>108</x:v>
      </x:c>
      <x:c r="J71" s="22" t="n">
        <x:f>I71/$N$5</x:f>
        <x:v>0.00003375</x:v>
      </x:c>
      <x:c r="K71" s="18" t="n">
        <x:f>MAX(INDEX($I$6:$K$11,MATCH(A71,$H$6:$H$11,0),MATCH(B71&amp;"連線",$I$5:$K$5,0)),IF(C71&gt;=3,INDEX($I$6:$K$11,MATCH("W",$H$6:$H$11,0),MATCH(C71&amp;"連線",$I$5:$K$5,0)),0))</x:f>
        <x:v>100</x:v>
      </x:c>
      <x:c r="L71" s="22" t="n">
        <x:f>J71*K71</x:f>
        <x:v>0.003375</x:v>
      </x:c>
      <x:c r="M71" s="18" t="str">
        <x:f>IF(K71&gt;INDEX($I$6:$K$11,MATCH(A71,$H$6:$H$11,0),MATCH(B71&amp;"連線",$I$5:$K$5,0)),"取 Wild 連線較高賠率","取一般圖案連線賠率")</x:f>
        <x:v>取一般圖案連線賠率</x:v>
      </x:c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18" t="str">
        <x:v>K</x:v>
      </x:c>
      <x:c r="B72" s="18" t="n">
        <x:v>5</x:v>
      </x:c>
      <x:c r="C72" s="18" t="n">
        <x:f>IF(D72&lt;&gt;"W",0,IF(E72&lt;&gt;"W",1,IF(F72&lt;&gt;"W",2,IF(G72&lt;&gt;"W",3,IF(H72&lt;&gt;"W",4,5)))))</x:f>
        <x:v>1</x:v>
      </x:c>
      <x:c r="D72" s="18" t="str">
        <x:v>W</x:v>
      </x:c>
      <x:c r="E72" s="18" t="str">
        <x:v>K</x:v>
      </x:c>
      <x:c r="F72" s="18" t="str">
        <x:v>K</x:v>
      </x:c>
      <x:c r="G72" s="18" t="str">
        <x:v>W</x:v>
      </x:c>
      <x:c r="H72" s="18" t="str">
        <x:v>K</x:v>
      </x:c>
      <x:c r="I72" s="21" t="n">
        <x:f>PRODUCT(VLOOKUP(D72,$A$29:$F$42,2,FALSE),VLOOKUP(E72,$A$29:$F$42,3,FALSE),VLOOKUP(F72,$A$29:$F$42,4,FALSE),VLOOKUP(G72,$A$29:$F$42,5,FALSE),VLOOKUP(H72,$A$29:$F$42,6,FALSE))</x:f>
        <x:v>108</x:v>
      </x:c>
      <x:c r="J72" s="22" t="n">
        <x:f>I72/$N$5</x:f>
        <x:v>0.00003375</x:v>
      </x:c>
      <x:c r="K72" s="18" t="n">
        <x:f>MAX(INDEX($I$6:$K$11,MATCH(A72,$H$6:$H$11,0),MATCH(B72&amp;"連線",$I$5:$K$5,0)),IF(C72&gt;=3,INDEX($I$6:$K$11,MATCH("W",$H$6:$H$11,0),MATCH(C72&amp;"連線",$I$5:$K$5,0)),0))</x:f>
        <x:v>100</x:v>
      </x:c>
      <x:c r="L72" s="22" t="n">
        <x:f>J72*K72</x:f>
        <x:v>0.003375</x:v>
      </x:c>
      <x:c r="M72" s="18" t="str">
        <x:f>IF(K72&gt;INDEX($I$6:$K$11,MATCH(A72,$H$6:$H$11,0),MATCH(B72&amp;"連線",$I$5:$K$5,0)),"取 Wild 連線較高賠率","取一般圖案連線賠率")</x:f>
        <x:v>取一般圖案連線賠率</x:v>
      </x:c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18" t="str">
        <x:v>K</x:v>
      </x:c>
      <x:c r="B73" s="18" t="n">
        <x:v>5</x:v>
      </x:c>
      <x:c r="C73" s="18" t="n">
        <x:f>IF(D73&lt;&gt;"W",0,IF(E73&lt;&gt;"W",1,IF(F73&lt;&gt;"W",2,IF(G73&lt;&gt;"W",3,IF(H73&lt;&gt;"W",4,5)))))</x:f>
        <x:v>1</x:v>
      </x:c>
      <x:c r="D73" s="18" t="str">
        <x:v>W</x:v>
      </x:c>
      <x:c r="E73" s="18" t="str">
        <x:v>K</x:v>
      </x:c>
      <x:c r="F73" s="18" t="str">
        <x:v>K</x:v>
      </x:c>
      <x:c r="G73" s="18" t="str">
        <x:v>K</x:v>
      </x:c>
      <x:c r="H73" s="18" t="str">
        <x:v>W</x:v>
      </x:c>
      <x:c r="I73" s="21" t="n">
        <x:f>PRODUCT(VLOOKUP(D73,$A$29:$F$42,2,FALSE),VLOOKUP(E73,$A$29:$F$42,3,FALSE),VLOOKUP(F73,$A$29:$F$42,4,FALSE),VLOOKUP(G73,$A$29:$F$42,5,FALSE),VLOOKUP(H73,$A$29:$F$42,6,FALSE))</x:f>
        <x:v>108</x:v>
      </x:c>
      <x:c r="J73" s="22" t="n">
        <x:f>I73/$N$5</x:f>
        <x:v>0.00003375</x:v>
      </x:c>
      <x:c r="K73" s="18" t="n">
        <x:f>MAX(INDEX($I$6:$K$11,MATCH(A73,$H$6:$H$11,0),MATCH(B73&amp;"連線",$I$5:$K$5,0)),IF(C73&gt;=3,INDEX($I$6:$K$11,MATCH("W",$H$6:$H$11,0),MATCH(C73&amp;"連線",$I$5:$K$5,0)),0))</x:f>
        <x:v>100</x:v>
      </x:c>
      <x:c r="L73" s="22" t="n">
        <x:f>J73*K73</x:f>
        <x:v>0.003375</x:v>
      </x:c>
      <x:c r="M73" s="18" t="str">
        <x:f>IF(K73&gt;INDEX($I$6:$K$11,MATCH(A73,$H$6:$H$11,0),MATCH(B73&amp;"連線",$I$5:$K$5,0)),"取 Wild 連線較高賠率","取一般圖案連線賠率")</x:f>
        <x:v>取一般圖案連線賠率</x:v>
      </x:c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18" t="str">
        <x:v>K</x:v>
      </x:c>
      <x:c r="B74" s="18" t="n">
        <x:v>5</x:v>
      </x:c>
      <x:c r="C74" s="18" t="n">
        <x:f>IF(D74&lt;&gt;"W",0,IF(E74&lt;&gt;"W",1,IF(F74&lt;&gt;"W",2,IF(G74&lt;&gt;"W",3,IF(H74&lt;&gt;"W",4,5)))))</x:f>
        <x:v>0</x:v>
      </x:c>
      <x:c r="D74" s="18" t="str">
        <x:v>K</x:v>
      </x:c>
      <x:c r="E74" s="18" t="str">
        <x:v>W</x:v>
      </x:c>
      <x:c r="F74" s="18" t="str">
        <x:v>W</x:v>
      </x:c>
      <x:c r="G74" s="18" t="str">
        <x:v>K</x:v>
      </x:c>
      <x:c r="H74" s="18" t="str">
        <x:v>K</x:v>
      </x:c>
      <x:c r="I74" s="21" t="n">
        <x:f>PRODUCT(VLOOKUP(D74,$A$29:$F$42,2,FALSE),VLOOKUP(E74,$A$29:$F$42,3,FALSE),VLOOKUP(F74,$A$29:$F$42,4,FALSE),VLOOKUP(G74,$A$29:$F$42,5,FALSE),VLOOKUP(H74,$A$29:$F$42,6,FALSE))</x:f>
        <x:v>36</x:v>
      </x:c>
      <x:c r="J74" s="22" t="n">
        <x:f>I74/$N$5</x:f>
        <x:v>0.00001125</x:v>
      </x:c>
      <x:c r="K74" s="18" t="n">
        <x:f>MAX(INDEX($I$6:$K$11,MATCH(A74,$H$6:$H$11,0),MATCH(B74&amp;"連線",$I$5:$K$5,0)),IF(C74&gt;=3,INDEX($I$6:$K$11,MATCH("W",$H$6:$H$11,0),MATCH(C74&amp;"連線",$I$5:$K$5,0)),0))</x:f>
        <x:v>100</x:v>
      </x:c>
      <x:c r="L74" s="22" t="n">
        <x:f>J74*K74</x:f>
        <x:v>0.0011250000000000001</x:v>
      </x:c>
      <x:c r="M74" s="18" t="str">
        <x:f>IF(K74&gt;INDEX($I$6:$K$11,MATCH(A74,$H$6:$H$11,0),MATCH(B74&amp;"連線",$I$5:$K$5,0)),"取 Wild 連線較高賠率","取一般圖案連線賠率")</x:f>
        <x:v>取一般圖案連線賠率</x:v>
      </x:c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18" t="str">
        <x:v>K</x:v>
      </x:c>
      <x:c r="B75" s="18" t="n">
        <x:v>5</x:v>
      </x:c>
      <x:c r="C75" s="18" t="n">
        <x:f>IF(D75&lt;&gt;"W",0,IF(E75&lt;&gt;"W",1,IF(F75&lt;&gt;"W",2,IF(G75&lt;&gt;"W",3,IF(H75&lt;&gt;"W",4,5)))))</x:f>
        <x:v>0</x:v>
      </x:c>
      <x:c r="D75" s="18" t="str">
        <x:v>K</x:v>
      </x:c>
      <x:c r="E75" s="18" t="str">
        <x:v>W</x:v>
      </x:c>
      <x:c r="F75" s="18" t="str">
        <x:v>K</x:v>
      </x:c>
      <x:c r="G75" s="18" t="str">
        <x:v>W</x:v>
      </x:c>
      <x:c r="H75" s="18" t="str">
        <x:v>K</x:v>
      </x:c>
      <x:c r="I75" s="21" t="n">
        <x:f>PRODUCT(VLOOKUP(D75,$A$29:$F$42,2,FALSE),VLOOKUP(E75,$A$29:$F$42,3,FALSE),VLOOKUP(F75,$A$29:$F$42,4,FALSE),VLOOKUP(G75,$A$29:$F$42,5,FALSE),VLOOKUP(H75,$A$29:$F$42,6,FALSE))</x:f>
        <x:v>36</x:v>
      </x:c>
      <x:c r="J75" s="22" t="n">
        <x:f>I75/$N$5</x:f>
        <x:v>0.00001125</x:v>
      </x:c>
      <x:c r="K75" s="18" t="n">
        <x:f>MAX(INDEX($I$6:$K$11,MATCH(A75,$H$6:$H$11,0),MATCH(B75&amp;"連線",$I$5:$K$5,0)),IF(C75&gt;=3,INDEX($I$6:$K$11,MATCH("W",$H$6:$H$11,0),MATCH(C75&amp;"連線",$I$5:$K$5,0)),0))</x:f>
        <x:v>100</x:v>
      </x:c>
      <x:c r="L75" s="22" t="n">
        <x:f>J75*K75</x:f>
        <x:v>0.0011250000000000001</x:v>
      </x:c>
      <x:c r="M75" s="18" t="str">
        <x:f>IF(K75&gt;INDEX($I$6:$K$11,MATCH(A75,$H$6:$H$11,0),MATCH(B75&amp;"連線",$I$5:$K$5,0)),"取 Wild 連線較高賠率","取一般圖案連線賠率")</x:f>
        <x:v>取一般圖案連線賠率</x:v>
      </x:c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18" t="str">
        <x:v>K</x:v>
      </x:c>
      <x:c r="B76" s="18" t="n">
        <x:v>5</x:v>
      </x:c>
      <x:c r="C76" s="18" t="n">
        <x:f>IF(D76&lt;&gt;"W",0,IF(E76&lt;&gt;"W",1,IF(F76&lt;&gt;"W",2,IF(G76&lt;&gt;"W",3,IF(H76&lt;&gt;"W",4,5)))))</x:f>
        <x:v>0</x:v>
      </x:c>
      <x:c r="D76" s="18" t="str">
        <x:v>K</x:v>
      </x:c>
      <x:c r="E76" s="18" t="str">
        <x:v>W</x:v>
      </x:c>
      <x:c r="F76" s="18" t="str">
        <x:v>K</x:v>
      </x:c>
      <x:c r="G76" s="18" t="str">
        <x:v>K</x:v>
      </x:c>
      <x:c r="H76" s="18" t="str">
        <x:v>W</x:v>
      </x:c>
      <x:c r="I76" s="21" t="n">
        <x:f>PRODUCT(VLOOKUP(D76,$A$29:$F$42,2,FALSE),VLOOKUP(E76,$A$29:$F$42,3,FALSE),VLOOKUP(F76,$A$29:$F$42,4,FALSE),VLOOKUP(G76,$A$29:$F$42,5,FALSE),VLOOKUP(H76,$A$29:$F$42,6,FALSE))</x:f>
        <x:v>36</x:v>
      </x:c>
      <x:c r="J76" s="22" t="n">
        <x:f>I76/$N$5</x:f>
        <x:v>0.00001125</x:v>
      </x:c>
      <x:c r="K76" s="18" t="n">
        <x:f>MAX(INDEX($I$6:$K$11,MATCH(A76,$H$6:$H$11,0),MATCH(B76&amp;"連線",$I$5:$K$5,0)),IF(C76&gt;=3,INDEX($I$6:$K$11,MATCH("W",$H$6:$H$11,0),MATCH(C76&amp;"連線",$I$5:$K$5,0)),0))</x:f>
        <x:v>100</x:v>
      </x:c>
      <x:c r="L76" s="22" t="n">
        <x:f>J76*K76</x:f>
        <x:v>0.0011250000000000001</x:v>
      </x:c>
      <x:c r="M76" s="18" t="str">
        <x:f>IF(K76&gt;INDEX($I$6:$K$11,MATCH(A76,$H$6:$H$11,0),MATCH(B76&amp;"連線",$I$5:$K$5,0)),"取 Wild 連線較高賠率","取一般圖案連線賠率")</x:f>
        <x:v>取一般圖案連線賠率</x:v>
      </x:c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18" t="str">
        <x:v>K</x:v>
      </x:c>
      <x:c r="B77" s="18" t="n">
        <x:v>5</x:v>
      </x:c>
      <x:c r="C77" s="18" t="n">
        <x:f>IF(D77&lt;&gt;"W",0,IF(E77&lt;&gt;"W",1,IF(F77&lt;&gt;"W",2,IF(G77&lt;&gt;"W",3,IF(H77&lt;&gt;"W",4,5)))))</x:f>
        <x:v>0</x:v>
      </x:c>
      <x:c r="D77" s="18" t="str">
        <x:v>K</x:v>
      </x:c>
      <x:c r="E77" s="18" t="str">
        <x:v>K</x:v>
      </x:c>
      <x:c r="F77" s="18" t="str">
        <x:v>W</x:v>
      </x:c>
      <x:c r="G77" s="18" t="str">
        <x:v>W</x:v>
      </x:c>
      <x:c r="H77" s="18" t="str">
        <x:v>K</x:v>
      </x:c>
      <x:c r="I77" s="21" t="n">
        <x:f>PRODUCT(VLOOKUP(D77,$A$29:$F$42,2,FALSE),VLOOKUP(E77,$A$29:$F$42,3,FALSE),VLOOKUP(F77,$A$29:$F$42,4,FALSE),VLOOKUP(G77,$A$29:$F$42,5,FALSE),VLOOKUP(H77,$A$29:$F$42,6,FALSE))</x:f>
        <x:v>36</x:v>
      </x:c>
      <x:c r="J77" s="22" t="n">
        <x:f>I77/$N$5</x:f>
        <x:v>0.00001125</x:v>
      </x:c>
      <x:c r="K77" s="18" t="n">
        <x:f>MAX(INDEX($I$6:$K$11,MATCH(A77,$H$6:$H$11,0),MATCH(B77&amp;"連線",$I$5:$K$5,0)),IF(C77&gt;=3,INDEX($I$6:$K$11,MATCH("W",$H$6:$H$11,0),MATCH(C77&amp;"連線",$I$5:$K$5,0)),0))</x:f>
        <x:v>100</x:v>
      </x:c>
      <x:c r="L77" s="22" t="n">
        <x:f>J77*K77</x:f>
        <x:v>0.0011250000000000001</x:v>
      </x:c>
      <x:c r="M77" s="18" t="str">
        <x:f>IF(K77&gt;INDEX($I$6:$K$11,MATCH(A77,$H$6:$H$11,0),MATCH(B77&amp;"連線",$I$5:$K$5,0)),"取 Wild 連線較高賠率","取一般圖案連線賠率")</x:f>
        <x:v>取一般圖案連線賠率</x:v>
      </x:c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18" t="str">
        <x:v>K</x:v>
      </x:c>
      <x:c r="B78" s="18" t="n">
        <x:v>5</x:v>
      </x:c>
      <x:c r="C78" s="18" t="n">
        <x:f>IF(D78&lt;&gt;"W",0,IF(E78&lt;&gt;"W",1,IF(F78&lt;&gt;"W",2,IF(G78&lt;&gt;"W",3,IF(H78&lt;&gt;"W",4,5)))))</x:f>
        <x:v>0</x:v>
      </x:c>
      <x:c r="D78" s="18" t="str">
        <x:v>K</x:v>
      </x:c>
      <x:c r="E78" s="18" t="str">
        <x:v>K</x:v>
      </x:c>
      <x:c r="F78" s="18" t="str">
        <x:v>W</x:v>
      </x:c>
      <x:c r="G78" s="18" t="str">
        <x:v>K</x:v>
      </x:c>
      <x:c r="H78" s="18" t="str">
        <x:v>W</x:v>
      </x:c>
      <x:c r="I78" s="21" t="n">
        <x:f>PRODUCT(VLOOKUP(D78,$A$29:$F$42,2,FALSE),VLOOKUP(E78,$A$29:$F$42,3,FALSE),VLOOKUP(F78,$A$29:$F$42,4,FALSE),VLOOKUP(G78,$A$29:$F$42,5,FALSE),VLOOKUP(H78,$A$29:$F$42,6,FALSE))</x:f>
        <x:v>36</x:v>
      </x:c>
      <x:c r="J78" s="22" t="n">
        <x:f>I78/$N$5</x:f>
        <x:v>0.00001125</x:v>
      </x:c>
      <x:c r="K78" s="18" t="n">
        <x:f>MAX(INDEX($I$6:$K$11,MATCH(A78,$H$6:$H$11,0),MATCH(B78&amp;"連線",$I$5:$K$5,0)),IF(C78&gt;=3,INDEX($I$6:$K$11,MATCH("W",$H$6:$H$11,0),MATCH(C78&amp;"連線",$I$5:$K$5,0)),0))</x:f>
        <x:v>100</x:v>
      </x:c>
      <x:c r="L78" s="22" t="n">
        <x:f>J78*K78</x:f>
        <x:v>0.0011250000000000001</x:v>
      </x:c>
      <x:c r="M78" s="18" t="str">
        <x:f>IF(K78&gt;INDEX($I$6:$K$11,MATCH(A78,$H$6:$H$11,0),MATCH(B78&amp;"連線",$I$5:$K$5,0)),"取 Wild 連線較高賠率","取一般圖案連線賠率")</x:f>
        <x:v>取一般圖案連線賠率</x:v>
      </x:c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18" t="str">
        <x:v>K</x:v>
      </x:c>
      <x:c r="B79" s="18" t="n">
        <x:v>5</x:v>
      </x:c>
      <x:c r="C79" s="18" t="n">
        <x:f>IF(D79&lt;&gt;"W",0,IF(E79&lt;&gt;"W",1,IF(F79&lt;&gt;"W",2,IF(G79&lt;&gt;"W",3,IF(H79&lt;&gt;"W",4,5)))))</x:f>
        <x:v>0</x:v>
      </x:c>
      <x:c r="D79" s="18" t="str">
        <x:v>K</x:v>
      </x:c>
      <x:c r="E79" s="18" t="str">
        <x:v>K</x:v>
      </x:c>
      <x:c r="F79" s="18" t="str">
        <x:v>K</x:v>
      </x:c>
      <x:c r="G79" s="18" t="str">
        <x:v>W</x:v>
      </x:c>
      <x:c r="H79" s="18" t="str">
        <x:v>W</x:v>
      </x:c>
      <x:c r="I79" s="21" t="n">
        <x:f>PRODUCT(VLOOKUP(D79,$A$29:$F$42,2,FALSE),VLOOKUP(E79,$A$29:$F$42,3,FALSE),VLOOKUP(F79,$A$29:$F$42,4,FALSE),VLOOKUP(G79,$A$29:$F$42,5,FALSE),VLOOKUP(H79,$A$29:$F$42,6,FALSE))</x:f>
        <x:v>36</x:v>
      </x:c>
      <x:c r="J79" s="22" t="n">
        <x:f>I79/$N$5</x:f>
        <x:v>0.00001125</x:v>
      </x:c>
      <x:c r="K79" s="18" t="n">
        <x:f>MAX(INDEX($I$6:$K$11,MATCH(A79,$H$6:$H$11,0),MATCH(B79&amp;"連線",$I$5:$K$5,0)),IF(C79&gt;=3,INDEX($I$6:$K$11,MATCH("W",$H$6:$H$11,0),MATCH(C79&amp;"連線",$I$5:$K$5,0)),0))</x:f>
        <x:v>100</x:v>
      </x:c>
      <x:c r="L79" s="22" t="n">
        <x:f>J79*K79</x:f>
        <x:v>0.0011250000000000001</x:v>
      </x:c>
      <x:c r="M79" s="18" t="str">
        <x:f>IF(K79&gt;INDEX($I$6:$K$11,MATCH(A79,$H$6:$H$11,0),MATCH(B79&amp;"連線",$I$5:$K$5,0)),"取 Wild 連線較高賠率","取一般圖案連線賠率")</x:f>
        <x:v>取一般圖案連線賠率</x:v>
      </x:c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18" t="str">
        <x:v>K</x:v>
      </x:c>
      <x:c r="B80" s="18" t="n">
        <x:v>5</x:v>
      </x:c>
      <x:c r="C80" s="18" t="n">
        <x:f>IF(D80&lt;&gt;"W",0,IF(E80&lt;&gt;"W",1,IF(F80&lt;&gt;"W",2,IF(G80&lt;&gt;"W",3,IF(H80&lt;&gt;"W",4,5)))))</x:f>
        <x:v>3</x:v>
      </x:c>
      <x:c r="D80" s="18" t="str">
        <x:v>W</x:v>
      </x:c>
      <x:c r="E80" s="18" t="str">
        <x:v>W</x:v>
      </x:c>
      <x:c r="F80" s="18" t="str">
        <x:v>W</x:v>
      </x:c>
      <x:c r="G80" s="18" t="str">
        <x:v>K</x:v>
      </x:c>
      <x:c r="H80" s="18" t="str">
        <x:v>K</x:v>
      </x:c>
      <x:c r="I80" s="21" t="n">
        <x:f>PRODUCT(VLOOKUP(D80,$A$29:$F$42,2,FALSE),VLOOKUP(E80,$A$29:$F$42,3,FALSE),VLOOKUP(F80,$A$29:$F$42,4,FALSE),VLOOKUP(G80,$A$29:$F$42,5,FALSE),VLOOKUP(H80,$A$29:$F$42,6,FALSE))</x:f>
        <x:v>72</x:v>
      </x:c>
      <x:c r="J80" s="22" t="n">
        <x:f>I80/$N$5</x:f>
        <x:v>0.0000225</x:v>
      </x:c>
      <x:c r="K80" s="18" t="n">
        <x:f>MAX(INDEX($I$6:$K$11,MATCH(A80,$H$6:$H$11,0),MATCH(B80&amp;"連線",$I$5:$K$5,0)),IF(C80&gt;=3,INDEX($I$6:$K$11,MATCH("W",$H$6:$H$11,0),MATCH(C80&amp;"連線",$I$5:$K$5,0)),0))</x:f>
        <x:v>150</x:v>
      </x:c>
      <x:c r="L80" s="22" t="n">
        <x:f>J80*K80</x:f>
        <x:v>0.0033750000000000004</x:v>
      </x:c>
      <x:c r="M80" s="18" t="str">
        <x:f>IF(K80&gt;INDEX($I$6:$K$11,MATCH(A80,$H$6:$H$11,0),MATCH(B80&amp;"連線",$I$5:$K$5,0)),"取 Wild 連線較高賠率","取一般圖案連線賠率")</x:f>
        <x:v>取 Wild 連線較高賠率</x:v>
      </x:c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18" t="str">
        <x:v>K</x:v>
      </x:c>
      <x:c r="B81" s="18" t="n">
        <x:v>5</x:v>
      </x:c>
      <x:c r="C81" s="18" t="n">
        <x:f>IF(D81&lt;&gt;"W",0,IF(E81&lt;&gt;"W",1,IF(F81&lt;&gt;"W",2,IF(G81&lt;&gt;"W",3,IF(H81&lt;&gt;"W",4,5)))))</x:f>
        <x:v>2</x:v>
      </x:c>
      <x:c r="D81" s="18" t="str">
        <x:v>W</x:v>
      </x:c>
      <x:c r="E81" s="18" t="str">
        <x:v>W</x:v>
      </x:c>
      <x:c r="F81" s="18" t="str">
        <x:v>K</x:v>
      </x:c>
      <x:c r="G81" s="18" t="str">
        <x:v>W</x:v>
      </x:c>
      <x:c r="H81" s="18" t="str">
        <x:v>K</x:v>
      </x:c>
      <x:c r="I81" s="21" t="n">
        <x:f>PRODUCT(VLOOKUP(D81,$A$29:$F$42,2,FALSE),VLOOKUP(E81,$A$29:$F$42,3,FALSE),VLOOKUP(F81,$A$29:$F$42,4,FALSE),VLOOKUP(G81,$A$29:$F$42,5,FALSE),VLOOKUP(H81,$A$29:$F$42,6,FALSE))</x:f>
        <x:v>72</x:v>
      </x:c>
      <x:c r="J81" s="22" t="n">
        <x:f>I81/$N$5</x:f>
        <x:v>0.0000225</x:v>
      </x:c>
      <x:c r="K81" s="18" t="n">
        <x:f>MAX(INDEX($I$6:$K$11,MATCH(A81,$H$6:$H$11,0),MATCH(B81&amp;"連線",$I$5:$K$5,0)),IF(C81&gt;=3,INDEX($I$6:$K$11,MATCH("W",$H$6:$H$11,0),MATCH(C81&amp;"連線",$I$5:$K$5,0)),0))</x:f>
        <x:v>100</x:v>
      </x:c>
      <x:c r="L81" s="22" t="n">
        <x:f>J81*K81</x:f>
        <x:v>0.0022500000000000003</x:v>
      </x:c>
      <x:c r="M81" s="18" t="str">
        <x:f>IF(K81&gt;INDEX($I$6:$K$11,MATCH(A81,$H$6:$H$11,0),MATCH(B81&amp;"連線",$I$5:$K$5,0)),"取 Wild 連線較高賠率","取一般圖案連線賠率")</x:f>
        <x:v>取一般圖案連線賠率</x:v>
      </x:c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18" t="str">
        <x:v>K</x:v>
      </x:c>
      <x:c r="B82" s="18" t="n">
        <x:v>5</x:v>
      </x:c>
      <x:c r="C82" s="18" t="n">
        <x:f>IF(D82&lt;&gt;"W",0,IF(E82&lt;&gt;"W",1,IF(F82&lt;&gt;"W",2,IF(G82&lt;&gt;"W",3,IF(H82&lt;&gt;"W",4,5)))))</x:f>
        <x:v>2</x:v>
      </x:c>
      <x:c r="D82" s="18" t="str">
        <x:v>W</x:v>
      </x:c>
      <x:c r="E82" s="18" t="str">
        <x:v>W</x:v>
      </x:c>
      <x:c r="F82" s="18" t="str">
        <x:v>K</x:v>
      </x:c>
      <x:c r="G82" s="18" t="str">
        <x:v>K</x:v>
      </x:c>
      <x:c r="H82" s="18" t="str">
        <x:v>W</x:v>
      </x:c>
      <x:c r="I82" s="21" t="n">
        <x:f>PRODUCT(VLOOKUP(D82,$A$29:$F$42,2,FALSE),VLOOKUP(E82,$A$29:$F$42,3,FALSE),VLOOKUP(F82,$A$29:$F$42,4,FALSE),VLOOKUP(G82,$A$29:$F$42,5,FALSE),VLOOKUP(H82,$A$29:$F$42,6,FALSE))</x:f>
        <x:v>72</x:v>
      </x:c>
      <x:c r="J82" s="22" t="n">
        <x:f>I82/$N$5</x:f>
        <x:v>0.0000225</x:v>
      </x:c>
      <x:c r="K82" s="18" t="n">
        <x:f>MAX(INDEX($I$6:$K$11,MATCH(A82,$H$6:$H$11,0),MATCH(B82&amp;"連線",$I$5:$K$5,0)),IF(C82&gt;=3,INDEX($I$6:$K$11,MATCH("W",$H$6:$H$11,0),MATCH(C82&amp;"連線",$I$5:$K$5,0)),0))</x:f>
        <x:v>100</x:v>
      </x:c>
      <x:c r="L82" s="22" t="n">
        <x:f>J82*K82</x:f>
        <x:v>0.0022500000000000003</x:v>
      </x:c>
      <x:c r="M82" s="18" t="str">
        <x:f>IF(K82&gt;INDEX($I$6:$K$11,MATCH(A82,$H$6:$H$11,0),MATCH(B82&amp;"連線",$I$5:$K$5,0)),"取 Wild 連線較高賠率","取一般圖案連線賠率")</x:f>
        <x:v>取一般圖案連線賠率</x:v>
      </x:c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18" t="str">
        <x:v>K</x:v>
      </x:c>
      <x:c r="B83" s="18" t="n">
        <x:v>5</x:v>
      </x:c>
      <x:c r="C83" s="18" t="n">
        <x:f>IF(D83&lt;&gt;"W",0,IF(E83&lt;&gt;"W",1,IF(F83&lt;&gt;"W",2,IF(G83&lt;&gt;"W",3,IF(H83&lt;&gt;"W",4,5)))))</x:f>
        <x:v>1</x:v>
      </x:c>
      <x:c r="D83" s="18" t="str">
        <x:v>W</x:v>
      </x:c>
      <x:c r="E83" s="18" t="str">
        <x:v>K</x:v>
      </x:c>
      <x:c r="F83" s="18" t="str">
        <x:v>W</x:v>
      </x:c>
      <x:c r="G83" s="18" t="str">
        <x:v>W</x:v>
      </x:c>
      <x:c r="H83" s="18" t="str">
        <x:v>K</x:v>
      </x:c>
      <x:c r="I83" s="21" t="n">
        <x:f>PRODUCT(VLOOKUP(D83,$A$29:$F$42,2,FALSE),VLOOKUP(E83,$A$29:$F$42,3,FALSE),VLOOKUP(F83,$A$29:$F$42,4,FALSE),VLOOKUP(G83,$A$29:$F$42,5,FALSE),VLOOKUP(H83,$A$29:$F$42,6,FALSE))</x:f>
        <x:v>72</x:v>
      </x:c>
      <x:c r="J83" s="22" t="n">
        <x:f>I83/$N$5</x:f>
        <x:v>0.0000225</x:v>
      </x:c>
      <x:c r="K83" s="18" t="n">
        <x:f>MAX(INDEX($I$6:$K$11,MATCH(A83,$H$6:$H$11,0),MATCH(B83&amp;"連線",$I$5:$K$5,0)),IF(C83&gt;=3,INDEX($I$6:$K$11,MATCH("W",$H$6:$H$11,0),MATCH(C83&amp;"連線",$I$5:$K$5,0)),0))</x:f>
        <x:v>100</x:v>
      </x:c>
      <x:c r="L83" s="22" t="n">
        <x:f>J83*K83</x:f>
        <x:v>0.0022500000000000003</x:v>
      </x:c>
      <x:c r="M83" s="18" t="str">
        <x:f>IF(K83&gt;INDEX($I$6:$K$11,MATCH(A83,$H$6:$H$11,0),MATCH(B83&amp;"連線",$I$5:$K$5,0)),"取 Wild 連線較高賠率","取一般圖案連線賠率")</x:f>
        <x:v>取一般圖案連線賠率</x:v>
      </x:c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18" t="str">
        <x:v>K</x:v>
      </x:c>
      <x:c r="B84" s="18" t="n">
        <x:v>5</x:v>
      </x:c>
      <x:c r="C84" s="18" t="n">
        <x:f>IF(D84&lt;&gt;"W",0,IF(E84&lt;&gt;"W",1,IF(F84&lt;&gt;"W",2,IF(G84&lt;&gt;"W",3,IF(H84&lt;&gt;"W",4,5)))))</x:f>
        <x:v>1</x:v>
      </x:c>
      <x:c r="D84" s="18" t="str">
        <x:v>W</x:v>
      </x:c>
      <x:c r="E84" s="18" t="str">
        <x:v>K</x:v>
      </x:c>
      <x:c r="F84" s="18" t="str">
        <x:v>W</x:v>
      </x:c>
      <x:c r="G84" s="18" t="str">
        <x:v>K</x:v>
      </x:c>
      <x:c r="H84" s="18" t="str">
        <x:v>W</x:v>
      </x:c>
      <x:c r="I84" s="21" t="n">
        <x:f>PRODUCT(VLOOKUP(D84,$A$29:$F$42,2,FALSE),VLOOKUP(E84,$A$29:$F$42,3,FALSE),VLOOKUP(F84,$A$29:$F$42,4,FALSE),VLOOKUP(G84,$A$29:$F$42,5,FALSE),VLOOKUP(H84,$A$29:$F$42,6,FALSE))</x:f>
        <x:v>72</x:v>
      </x:c>
      <x:c r="J84" s="22" t="n">
        <x:f>I84/$N$5</x:f>
        <x:v>0.0000225</x:v>
      </x:c>
      <x:c r="K84" s="18" t="n">
        <x:f>MAX(INDEX($I$6:$K$11,MATCH(A84,$H$6:$H$11,0),MATCH(B84&amp;"連線",$I$5:$K$5,0)),IF(C84&gt;=3,INDEX($I$6:$K$11,MATCH("W",$H$6:$H$11,0),MATCH(C84&amp;"連線",$I$5:$K$5,0)),0))</x:f>
        <x:v>100</x:v>
      </x:c>
      <x:c r="L84" s="22" t="n">
        <x:f>J84*K84</x:f>
        <x:v>0.0022500000000000003</x:v>
      </x:c>
      <x:c r="M84" s="18" t="str">
        <x:f>IF(K84&gt;INDEX($I$6:$K$11,MATCH(A84,$H$6:$H$11,0),MATCH(B84&amp;"連線",$I$5:$K$5,0)),"取 Wild 連線較高賠率","取一般圖案連線賠率")</x:f>
        <x:v>取一般圖案連線賠率</x:v>
      </x:c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18" t="str">
        <x:v>K</x:v>
      </x:c>
      <x:c r="B85" s="18" t="n">
        <x:v>5</x:v>
      </x:c>
      <x:c r="C85" s="18" t="n">
        <x:f>IF(D85&lt;&gt;"W",0,IF(E85&lt;&gt;"W",1,IF(F85&lt;&gt;"W",2,IF(G85&lt;&gt;"W",3,IF(H85&lt;&gt;"W",4,5)))))</x:f>
        <x:v>1</x:v>
      </x:c>
      <x:c r="D85" s="18" t="str">
        <x:v>W</x:v>
      </x:c>
      <x:c r="E85" s="18" t="str">
        <x:v>K</x:v>
      </x:c>
      <x:c r="F85" s="18" t="str">
        <x:v>K</x:v>
      </x:c>
      <x:c r="G85" s="18" t="str">
        <x:v>W</x:v>
      </x:c>
      <x:c r="H85" s="18" t="str">
        <x:v>W</x:v>
      </x:c>
      <x:c r="I85" s="21" t="n">
        <x:f>PRODUCT(VLOOKUP(D85,$A$29:$F$42,2,FALSE),VLOOKUP(E85,$A$29:$F$42,3,FALSE),VLOOKUP(F85,$A$29:$F$42,4,FALSE),VLOOKUP(G85,$A$29:$F$42,5,FALSE),VLOOKUP(H85,$A$29:$F$42,6,FALSE))</x:f>
        <x:v>72</x:v>
      </x:c>
      <x:c r="J85" s="22" t="n">
        <x:f>I85/$N$5</x:f>
        <x:v>0.0000225</x:v>
      </x:c>
      <x:c r="K85" s="18" t="n">
        <x:f>MAX(INDEX($I$6:$K$11,MATCH(A85,$H$6:$H$11,0),MATCH(B85&amp;"連線",$I$5:$K$5,0)),IF(C85&gt;=3,INDEX($I$6:$K$11,MATCH("W",$H$6:$H$11,0),MATCH(C85&amp;"連線",$I$5:$K$5,0)),0))</x:f>
        <x:v>100</x:v>
      </x:c>
      <x:c r="L85" s="22" t="n">
        <x:f>J85*K85</x:f>
        <x:v>0.0022500000000000003</x:v>
      </x:c>
      <x:c r="M85" s="18" t="str">
        <x:f>IF(K85&gt;INDEX($I$6:$K$11,MATCH(A85,$H$6:$H$11,0),MATCH(B85&amp;"連線",$I$5:$K$5,0)),"取 Wild 連線較高賠率","取一般圖案連線賠率")</x:f>
        <x:v>取一般圖案連線賠率</x:v>
      </x:c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18" t="str">
        <x:v>K</x:v>
      </x:c>
      <x:c r="B86" s="18" t="n">
        <x:v>5</x:v>
      </x:c>
      <x:c r="C86" s="18" t="n">
        <x:f>IF(D86&lt;&gt;"W",0,IF(E86&lt;&gt;"W",1,IF(F86&lt;&gt;"W",2,IF(G86&lt;&gt;"W",3,IF(H86&lt;&gt;"W",4,5)))))</x:f>
        <x:v>0</x:v>
      </x:c>
      <x:c r="D86" s="18" t="str">
        <x:v>K</x:v>
      </x:c>
      <x:c r="E86" s="18" t="str">
        <x:v>W</x:v>
      </x:c>
      <x:c r="F86" s="18" t="str">
        <x:v>W</x:v>
      </x:c>
      <x:c r="G86" s="18" t="str">
        <x:v>W</x:v>
      </x:c>
      <x:c r="H86" s="18" t="str">
        <x:v>K</x:v>
      </x:c>
      <x:c r="I86" s="21" t="n">
        <x:f>PRODUCT(VLOOKUP(D86,$A$29:$F$42,2,FALSE),VLOOKUP(E86,$A$29:$F$42,3,FALSE),VLOOKUP(F86,$A$29:$F$42,4,FALSE),VLOOKUP(G86,$A$29:$F$42,5,FALSE),VLOOKUP(H86,$A$29:$F$42,6,FALSE))</x:f>
        <x:v>24</x:v>
      </x:c>
      <x:c r="J86" s="22" t="n">
        <x:f>I86/$N$5</x:f>
        <x:v>0.0000075</x:v>
      </x:c>
      <x:c r="K86" s="18" t="n">
        <x:f>MAX(INDEX($I$6:$K$11,MATCH(A86,$H$6:$H$11,0),MATCH(B86&amp;"連線",$I$5:$K$5,0)),IF(C86&gt;=3,INDEX($I$6:$K$11,MATCH("W",$H$6:$H$11,0),MATCH(C86&amp;"連線",$I$5:$K$5,0)),0))</x:f>
        <x:v>100</x:v>
      </x:c>
      <x:c r="L86" s="22" t="n">
        <x:f>J86*K86</x:f>
        <x:v>0.00075</x:v>
      </x:c>
      <x:c r="M86" s="18" t="str">
        <x:f>IF(K86&gt;INDEX($I$6:$K$11,MATCH(A86,$H$6:$H$11,0),MATCH(B86&amp;"連線",$I$5:$K$5,0)),"取 Wild 連線較高賠率","取一般圖案連線賠率")</x:f>
        <x:v>取一般圖案連線賠率</x:v>
      </x:c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18" t="str">
        <x:v>K</x:v>
      </x:c>
      <x:c r="B87" s="18" t="n">
        <x:v>5</x:v>
      </x:c>
      <x:c r="C87" s="18" t="n">
        <x:f>IF(D87&lt;&gt;"W",0,IF(E87&lt;&gt;"W",1,IF(F87&lt;&gt;"W",2,IF(G87&lt;&gt;"W",3,IF(H87&lt;&gt;"W",4,5)))))</x:f>
        <x:v>0</x:v>
      </x:c>
      <x:c r="D87" s="18" t="str">
        <x:v>K</x:v>
      </x:c>
      <x:c r="E87" s="18" t="str">
        <x:v>W</x:v>
      </x:c>
      <x:c r="F87" s="18" t="str">
        <x:v>W</x:v>
      </x:c>
      <x:c r="G87" s="18" t="str">
        <x:v>K</x:v>
      </x:c>
      <x:c r="H87" s="18" t="str">
        <x:v>W</x:v>
      </x:c>
      <x:c r="I87" s="21" t="n">
        <x:f>PRODUCT(VLOOKUP(D87,$A$29:$F$42,2,FALSE),VLOOKUP(E87,$A$29:$F$42,3,FALSE),VLOOKUP(F87,$A$29:$F$42,4,FALSE),VLOOKUP(G87,$A$29:$F$42,5,FALSE),VLOOKUP(H87,$A$29:$F$42,6,FALSE))</x:f>
        <x:v>24</x:v>
      </x:c>
      <x:c r="J87" s="22" t="n">
        <x:f>I87/$N$5</x:f>
        <x:v>0.0000075</x:v>
      </x:c>
      <x:c r="K87" s="18" t="n">
        <x:f>MAX(INDEX($I$6:$K$11,MATCH(A87,$H$6:$H$11,0),MATCH(B87&amp;"連線",$I$5:$K$5,0)),IF(C87&gt;=3,INDEX($I$6:$K$11,MATCH("W",$H$6:$H$11,0),MATCH(C87&amp;"連線",$I$5:$K$5,0)),0))</x:f>
        <x:v>100</x:v>
      </x:c>
      <x:c r="L87" s="22" t="n">
        <x:f>J87*K87</x:f>
        <x:v>0.00075</x:v>
      </x:c>
      <x:c r="M87" s="18" t="str">
        <x:f>IF(K87&gt;INDEX($I$6:$K$11,MATCH(A87,$H$6:$H$11,0),MATCH(B87&amp;"連線",$I$5:$K$5,0)),"取 Wild 連線較高賠率","取一般圖案連線賠率")</x:f>
        <x:v>取一般圖案連線賠率</x:v>
      </x:c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18" t="str">
        <x:v>K</x:v>
      </x:c>
      <x:c r="B88" s="18" t="n">
        <x:v>5</x:v>
      </x:c>
      <x:c r="C88" s="18" t="n">
        <x:f>IF(D88&lt;&gt;"W",0,IF(E88&lt;&gt;"W",1,IF(F88&lt;&gt;"W",2,IF(G88&lt;&gt;"W",3,IF(H88&lt;&gt;"W",4,5)))))</x:f>
        <x:v>0</x:v>
      </x:c>
      <x:c r="D88" s="18" t="str">
        <x:v>K</x:v>
      </x:c>
      <x:c r="E88" s="18" t="str">
        <x:v>W</x:v>
      </x:c>
      <x:c r="F88" s="18" t="str">
        <x:v>K</x:v>
      </x:c>
      <x:c r="G88" s="18" t="str">
        <x:v>W</x:v>
      </x:c>
      <x:c r="H88" s="18" t="str">
        <x:v>W</x:v>
      </x:c>
      <x:c r="I88" s="21" t="n">
        <x:f>PRODUCT(VLOOKUP(D88,$A$29:$F$42,2,FALSE),VLOOKUP(E88,$A$29:$F$42,3,FALSE),VLOOKUP(F88,$A$29:$F$42,4,FALSE),VLOOKUP(G88,$A$29:$F$42,5,FALSE),VLOOKUP(H88,$A$29:$F$42,6,FALSE))</x:f>
        <x:v>24</x:v>
      </x:c>
      <x:c r="J88" s="22" t="n">
        <x:f>I88/$N$5</x:f>
        <x:v>0.0000075</x:v>
      </x:c>
      <x:c r="K88" s="18" t="n">
        <x:f>MAX(INDEX($I$6:$K$11,MATCH(A88,$H$6:$H$11,0),MATCH(B88&amp;"連線",$I$5:$K$5,0)),IF(C88&gt;=3,INDEX($I$6:$K$11,MATCH("W",$H$6:$H$11,0),MATCH(C88&amp;"連線",$I$5:$K$5,0)),0))</x:f>
        <x:v>100</x:v>
      </x:c>
      <x:c r="L88" s="22" t="n">
        <x:f>J88*K88</x:f>
        <x:v>0.00075</x:v>
      </x:c>
      <x:c r="M88" s="18" t="str">
        <x:f>IF(K88&gt;INDEX($I$6:$K$11,MATCH(A88,$H$6:$H$11,0),MATCH(B88&amp;"連線",$I$5:$K$5,0)),"取 Wild 連線較高賠率","取一般圖案連線賠率")</x:f>
        <x:v>取一般圖案連線賠率</x:v>
      </x:c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18" t="str">
        <x:v>K</x:v>
      </x:c>
      <x:c r="B89" s="18" t="n">
        <x:v>5</x:v>
      </x:c>
      <x:c r="C89" s="18" t="n">
        <x:f>IF(D89&lt;&gt;"W",0,IF(E89&lt;&gt;"W",1,IF(F89&lt;&gt;"W",2,IF(G89&lt;&gt;"W",3,IF(H89&lt;&gt;"W",4,5)))))</x:f>
        <x:v>0</x:v>
      </x:c>
      <x:c r="D89" s="18" t="str">
        <x:v>K</x:v>
      </x:c>
      <x:c r="E89" s="18" t="str">
        <x:v>K</x:v>
      </x:c>
      <x:c r="F89" s="18" t="str">
        <x:v>W</x:v>
      </x:c>
      <x:c r="G89" s="18" t="str">
        <x:v>W</x:v>
      </x:c>
      <x:c r="H89" s="18" t="str">
        <x:v>W</x:v>
      </x:c>
      <x:c r="I89" s="21" t="n">
        <x:f>PRODUCT(VLOOKUP(D89,$A$29:$F$42,2,FALSE),VLOOKUP(E89,$A$29:$F$42,3,FALSE),VLOOKUP(F89,$A$29:$F$42,4,FALSE),VLOOKUP(G89,$A$29:$F$42,5,FALSE),VLOOKUP(H89,$A$29:$F$42,6,FALSE))</x:f>
        <x:v>24</x:v>
      </x:c>
      <x:c r="J89" s="22" t="n">
        <x:f>I89/$N$5</x:f>
        <x:v>0.0000075</x:v>
      </x:c>
      <x:c r="K89" s="18" t="n">
        <x:f>MAX(INDEX($I$6:$K$11,MATCH(A89,$H$6:$H$11,0),MATCH(B89&amp;"連線",$I$5:$K$5,0)),IF(C89&gt;=3,INDEX($I$6:$K$11,MATCH("W",$H$6:$H$11,0),MATCH(C89&amp;"連線",$I$5:$K$5,0)),0))</x:f>
        <x:v>100</x:v>
      </x:c>
      <x:c r="L89" s="22" t="n">
        <x:f>J89*K89</x:f>
        <x:v>0.00075</x:v>
      </x:c>
      <x:c r="M89" s="18" t="str">
        <x:f>IF(K89&gt;INDEX($I$6:$K$11,MATCH(A89,$H$6:$H$11,0),MATCH(B89&amp;"連線",$I$5:$K$5,0)),"取 Wild 連線較高賠率","取一般圖案連線賠率")</x:f>
        <x:v>取一般圖案連線賠率</x:v>
      </x:c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18" t="str">
        <x:v>K</x:v>
      </x:c>
      <x:c r="B90" s="18" t="n">
        <x:v>5</x:v>
      </x:c>
      <x:c r="C90" s="18" t="n">
        <x:f>IF(D90&lt;&gt;"W",0,IF(E90&lt;&gt;"W",1,IF(F90&lt;&gt;"W",2,IF(G90&lt;&gt;"W",3,IF(H90&lt;&gt;"W",4,5)))))</x:f>
        <x:v>4</x:v>
      </x:c>
      <x:c r="D90" s="18" t="str">
        <x:v>W</x:v>
      </x:c>
      <x:c r="E90" s="18" t="str">
        <x:v>W</x:v>
      </x:c>
      <x:c r="F90" s="18" t="str">
        <x:v>W</x:v>
      </x:c>
      <x:c r="G90" s="18" t="str">
        <x:v>W</x:v>
      </x:c>
      <x:c r="H90" s="18" t="str">
        <x:v>K</x:v>
      </x:c>
      <x:c r="I90" s="21" t="n">
        <x:f>PRODUCT(VLOOKUP(D90,$A$29:$F$42,2,FALSE),VLOOKUP(E90,$A$29:$F$42,3,FALSE),VLOOKUP(F90,$A$29:$F$42,4,FALSE),VLOOKUP(G90,$A$29:$F$42,5,FALSE),VLOOKUP(H90,$A$29:$F$42,6,FALSE))</x:f>
        <x:v>48</x:v>
      </x:c>
      <x:c r="J90" s="22" t="n">
        <x:f>I90/$N$5</x:f>
        <x:v>0.000015</x:v>
      </x:c>
      <x:c r="K90" s="18" t="n">
        <x:f>MAX(INDEX($I$6:$K$11,MATCH(A90,$H$6:$H$11,0),MATCH(B90&amp;"連線",$I$5:$K$5,0)),IF(C90&gt;=3,INDEX($I$6:$K$11,MATCH("W",$H$6:$H$11,0),MATCH(C90&amp;"連線",$I$5:$K$5,0)),0))</x:f>
        <x:v>300</x:v>
      </x:c>
      <x:c r="L90" s="22" t="n">
        <x:f>J90*K90</x:f>
        <x:v>0.0045000000000000005</x:v>
      </x:c>
      <x:c r="M90" s="18" t="str">
        <x:f>IF(K90&gt;INDEX($I$6:$K$11,MATCH(A90,$H$6:$H$11,0),MATCH(B90&amp;"連線",$I$5:$K$5,0)),"取 Wild 連線較高賠率","取一般圖案連線賠率")</x:f>
        <x:v>取 Wild 連線較高賠率</x:v>
      </x:c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18" t="str">
        <x:v>K</x:v>
      </x:c>
      <x:c r="B91" s="18" t="n">
        <x:v>5</x:v>
      </x:c>
      <x:c r="C91" s="18" t="n">
        <x:f>IF(D91&lt;&gt;"W",0,IF(E91&lt;&gt;"W",1,IF(F91&lt;&gt;"W",2,IF(G91&lt;&gt;"W",3,IF(H91&lt;&gt;"W",4,5)))))</x:f>
        <x:v>3</x:v>
      </x:c>
      <x:c r="D91" s="18" t="str">
        <x:v>W</x:v>
      </x:c>
      <x:c r="E91" s="18" t="str">
        <x:v>W</x:v>
      </x:c>
      <x:c r="F91" s="18" t="str">
        <x:v>W</x:v>
      </x:c>
      <x:c r="G91" s="18" t="str">
        <x:v>K</x:v>
      </x:c>
      <x:c r="H91" s="18" t="str">
        <x:v>W</x:v>
      </x:c>
      <x:c r="I91" s="21" t="n">
        <x:f>PRODUCT(VLOOKUP(D91,$A$29:$F$42,2,FALSE),VLOOKUP(E91,$A$29:$F$42,3,FALSE),VLOOKUP(F91,$A$29:$F$42,4,FALSE),VLOOKUP(G91,$A$29:$F$42,5,FALSE),VLOOKUP(H91,$A$29:$F$42,6,FALSE))</x:f>
        <x:v>48</x:v>
      </x:c>
      <x:c r="J91" s="22" t="n">
        <x:f>I91/$N$5</x:f>
        <x:v>0.000015</x:v>
      </x:c>
      <x:c r="K91" s="18" t="n">
        <x:f>MAX(INDEX($I$6:$K$11,MATCH(A91,$H$6:$H$11,0),MATCH(B91&amp;"連線",$I$5:$K$5,0)),IF(C91&gt;=3,INDEX($I$6:$K$11,MATCH("W",$H$6:$H$11,0),MATCH(C91&amp;"連線",$I$5:$K$5,0)),0))</x:f>
        <x:v>150</x:v>
      </x:c>
      <x:c r="L91" s="22" t="n">
        <x:f>J91*K91</x:f>
        <x:v>0.0022500000000000003</x:v>
      </x:c>
      <x:c r="M91" s="18" t="str">
        <x:f>IF(K91&gt;INDEX($I$6:$K$11,MATCH(A91,$H$6:$H$11,0),MATCH(B91&amp;"連線",$I$5:$K$5,0)),"取 Wild 連線較高賠率","取一般圖案連線賠率")</x:f>
        <x:v>取 Wild 連線較高賠率</x:v>
      </x:c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18" t="str">
        <x:v>K</x:v>
      </x:c>
      <x:c r="B92" s="18" t="n">
        <x:v>5</x:v>
      </x:c>
      <x:c r="C92" s="18" t="n">
        <x:f>IF(D92&lt;&gt;"W",0,IF(E92&lt;&gt;"W",1,IF(F92&lt;&gt;"W",2,IF(G92&lt;&gt;"W",3,IF(H92&lt;&gt;"W",4,5)))))</x:f>
        <x:v>2</x:v>
      </x:c>
      <x:c r="D92" s="18" t="str">
        <x:v>W</x:v>
      </x:c>
      <x:c r="E92" s="18" t="str">
        <x:v>W</x:v>
      </x:c>
      <x:c r="F92" s="18" t="str">
        <x:v>K</x:v>
      </x:c>
      <x:c r="G92" s="18" t="str">
        <x:v>W</x:v>
      </x:c>
      <x:c r="H92" s="18" t="str">
        <x:v>W</x:v>
      </x:c>
      <x:c r="I92" s="21" t="n">
        <x:f>PRODUCT(VLOOKUP(D92,$A$29:$F$42,2,FALSE),VLOOKUP(E92,$A$29:$F$42,3,FALSE),VLOOKUP(F92,$A$29:$F$42,4,FALSE),VLOOKUP(G92,$A$29:$F$42,5,FALSE),VLOOKUP(H92,$A$29:$F$42,6,FALSE))</x:f>
        <x:v>48</x:v>
      </x:c>
      <x:c r="J92" s="22" t="n">
        <x:f>I92/$N$5</x:f>
        <x:v>0.000015</x:v>
      </x:c>
      <x:c r="K92" s="18" t="n">
        <x:f>MAX(INDEX($I$6:$K$11,MATCH(A92,$H$6:$H$11,0),MATCH(B92&amp;"連線",$I$5:$K$5,0)),IF(C92&gt;=3,INDEX($I$6:$K$11,MATCH("W",$H$6:$H$11,0),MATCH(C92&amp;"連線",$I$5:$K$5,0)),0))</x:f>
        <x:v>100</x:v>
      </x:c>
      <x:c r="L92" s="22" t="n">
        <x:f>J92*K92</x:f>
        <x:v>0.0015</x:v>
      </x:c>
      <x:c r="M92" s="18" t="str">
        <x:f>IF(K92&gt;INDEX($I$6:$K$11,MATCH(A92,$H$6:$H$11,0),MATCH(B92&amp;"連線",$I$5:$K$5,0)),"取 Wild 連線較高賠率","取一般圖案連線賠率")</x:f>
        <x:v>取一般圖案連線賠率</x:v>
      </x:c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18" t="str">
        <x:v>K</x:v>
      </x:c>
      <x:c r="B93" s="18" t="n">
        <x:v>5</x:v>
      </x:c>
      <x:c r="C93" s="18" t="n">
        <x:f>IF(D93&lt;&gt;"W",0,IF(E93&lt;&gt;"W",1,IF(F93&lt;&gt;"W",2,IF(G93&lt;&gt;"W",3,IF(H93&lt;&gt;"W",4,5)))))</x:f>
        <x:v>1</x:v>
      </x:c>
      <x:c r="D93" s="18" t="str">
        <x:v>W</x:v>
      </x:c>
      <x:c r="E93" s="18" t="str">
        <x:v>K</x:v>
      </x:c>
      <x:c r="F93" s="18" t="str">
        <x:v>W</x:v>
      </x:c>
      <x:c r="G93" s="18" t="str">
        <x:v>W</x:v>
      </x:c>
      <x:c r="H93" s="18" t="str">
        <x:v>W</x:v>
      </x:c>
      <x:c r="I93" s="21" t="n">
        <x:f>PRODUCT(VLOOKUP(D93,$A$29:$F$42,2,FALSE),VLOOKUP(E93,$A$29:$F$42,3,FALSE),VLOOKUP(F93,$A$29:$F$42,4,FALSE),VLOOKUP(G93,$A$29:$F$42,5,FALSE),VLOOKUP(H93,$A$29:$F$42,6,FALSE))</x:f>
        <x:v>48</x:v>
      </x:c>
      <x:c r="J93" s="22" t="n">
        <x:f>I93/$N$5</x:f>
        <x:v>0.000015</x:v>
      </x:c>
      <x:c r="K93" s="18" t="n">
        <x:f>MAX(INDEX($I$6:$K$11,MATCH(A93,$H$6:$H$11,0),MATCH(B93&amp;"連線",$I$5:$K$5,0)),IF(C93&gt;=3,INDEX($I$6:$K$11,MATCH("W",$H$6:$H$11,0),MATCH(C93&amp;"連線",$I$5:$K$5,0)),0))</x:f>
        <x:v>100</x:v>
      </x:c>
      <x:c r="L93" s="22" t="n">
        <x:f>J93*K93</x:f>
        <x:v>0.0015</x:v>
      </x:c>
      <x:c r="M93" s="18" t="str">
        <x:f>IF(K93&gt;INDEX($I$6:$K$11,MATCH(A93,$H$6:$H$11,0),MATCH(B93&amp;"連線",$I$5:$K$5,0)),"取 Wild 連線較高賠率","取一般圖案連線賠率")</x:f>
        <x:v>取一般圖案連線賠率</x:v>
      </x:c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18" t="str">
        <x:v>K</x:v>
      </x:c>
      <x:c r="B94" s="18" t="n">
        <x:v>5</x:v>
      </x:c>
      <x:c r="C94" s="18" t="n">
        <x:f>IF(D94&lt;&gt;"W",0,IF(E94&lt;&gt;"W",1,IF(F94&lt;&gt;"W",2,IF(G94&lt;&gt;"W",3,IF(H94&lt;&gt;"W",4,5)))))</x:f>
        <x:v>0</x:v>
      </x:c>
      <x:c r="D94" s="18" t="str">
        <x:v>K</x:v>
      </x:c>
      <x:c r="E94" s="18" t="str">
        <x:v>W</x:v>
      </x:c>
      <x:c r="F94" s="18" t="str">
        <x:v>W</x:v>
      </x:c>
      <x:c r="G94" s="18" t="str">
        <x:v>W</x:v>
      </x:c>
      <x:c r="H94" s="18" t="str">
        <x:v>W</x:v>
      </x:c>
      <x:c r="I94" s="21" t="n">
        <x:f>PRODUCT(VLOOKUP(D94,$A$29:$F$42,2,FALSE),VLOOKUP(E94,$A$29:$F$42,3,FALSE),VLOOKUP(F94,$A$29:$F$42,4,FALSE),VLOOKUP(G94,$A$29:$F$42,5,FALSE),VLOOKUP(H94,$A$29:$F$42,6,FALSE))</x:f>
        <x:v>16</x:v>
      </x:c>
      <x:c r="J94" s="22" t="n">
        <x:f>I94/$N$5</x:f>
        <x:v>0.000005</x:v>
      </x:c>
      <x:c r="K94" s="18" t="n">
        <x:f>MAX(INDEX($I$6:$K$11,MATCH(A94,$H$6:$H$11,0),MATCH(B94&amp;"連線",$I$5:$K$5,0)),IF(C94&gt;=3,INDEX($I$6:$K$11,MATCH("W",$H$6:$H$11,0),MATCH(C94&amp;"連線",$I$5:$K$5,0)),0))</x:f>
        <x:v>100</x:v>
      </x:c>
      <x:c r="L94" s="22" t="n">
        <x:f>J94*K94</x:f>
        <x:v>0.0005</x:v>
      </x:c>
      <x:c r="M94" s="18" t="str">
        <x:f>IF(K94&gt;INDEX($I$6:$K$11,MATCH(A94,$H$6:$H$11,0),MATCH(B94&amp;"連線",$I$5:$K$5,0)),"取 Wild 連線較高賠率","取一般圖案連線賠率")</x:f>
        <x:v>取一般圖案連線賠率</x:v>
      </x:c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18" t="str">
        <x:v>K</x:v>
      </x:c>
      <x:c r="B95" s="18" t="n">
        <x:v>4</x:v>
      </x:c>
      <x:c r="C95" s="18" t="n">
        <x:f>IF(D95&lt;&gt;"W",0,IF(E95&lt;&gt;"W",1,IF(F95&lt;&gt;"W",2,IF(G95&lt;&gt;"W",3,IF(H95&lt;&gt;"W",4,5)))))</x:f>
        <x:v>1</x:v>
      </x:c>
      <x:c r="D95" s="18" t="str">
        <x:v>W</x:v>
      </x:c>
      <x:c r="E95" s="18" t="str">
        <x:v>K</x:v>
      </x:c>
      <x:c r="F95" s="18" t="str">
        <x:v>K</x:v>
      </x:c>
      <x:c r="G95" s="18" t="str">
        <x:v>K</x:v>
      </x:c>
      <x:c r="H95" s="18" t="str">
        <x:v>X_WK</x:v>
      </x:c>
      <x:c r="I95" s="21" t="n">
        <x:f>PRODUCT(VLOOKUP(D95,$A$29:$F$42,2,FALSE),VLOOKUP(E95,$A$29:$F$42,3,FALSE),VLOOKUP(F95,$A$29:$F$42,4,FALSE),VLOOKUP(G95,$A$29:$F$42,5,FALSE),VLOOKUP(H95,$A$29:$F$42,6,FALSE))</x:f>
        <x:v>810</x:v>
      </x:c>
      <x:c r="J95" s="22" t="n">
        <x:f>I95/$N$5</x:f>
        <x:v>0.000253125</x:v>
      </x:c>
      <x:c r="K95" s="18" t="n">
        <x:f>MAX(INDEX($I$6:$K$11,MATCH(A95,$H$6:$H$11,0),MATCH(B95&amp;"連線",$I$5:$K$5,0)),IF(C95&gt;=3,INDEX($I$6:$K$11,MATCH("W",$H$6:$H$11,0),MATCH(C95&amp;"連線",$I$5:$K$5,0)),0))</x:f>
        <x:v>30</x:v>
      </x:c>
      <x:c r="L95" s="22" t="n">
        <x:f>J95*K95</x:f>
        <x:v>0.00759375</x:v>
      </x:c>
      <x:c r="M95" s="18" t="str">
        <x:f>IF(K95&gt;INDEX($I$6:$K$11,MATCH(A95,$H$6:$H$11,0),MATCH(B95&amp;"連線",$I$5:$K$5,0)),"取 Wild 連線較高賠率","取一般圖案連線賠率")</x:f>
        <x:v>取一般圖案連線賠率</x:v>
      </x:c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18" t="str">
        <x:v>K</x:v>
      </x:c>
      <x:c r="B96" s="18" t="n">
        <x:v>4</x:v>
      </x:c>
      <x:c r="C96" s="18" t="n">
        <x:f>IF(D96&lt;&gt;"W",0,IF(E96&lt;&gt;"W",1,IF(F96&lt;&gt;"W",2,IF(G96&lt;&gt;"W",3,IF(H96&lt;&gt;"W",4,5)))))</x:f>
        <x:v>0</x:v>
      </x:c>
      <x:c r="D96" s="18" t="str">
        <x:v>K</x:v>
      </x:c>
      <x:c r="E96" s="18" t="str">
        <x:v>W</x:v>
      </x:c>
      <x:c r="F96" s="18" t="str">
        <x:v>K</x:v>
      </x:c>
      <x:c r="G96" s="18" t="str">
        <x:v>K</x:v>
      </x:c>
      <x:c r="H96" s="18" t="str">
        <x:v>X_WK</x:v>
      </x:c>
      <x:c r="I96" s="21" t="n">
        <x:f>PRODUCT(VLOOKUP(D96,$A$29:$F$42,2,FALSE),VLOOKUP(E96,$A$29:$F$42,3,FALSE),VLOOKUP(F96,$A$29:$F$42,4,FALSE),VLOOKUP(G96,$A$29:$F$42,5,FALSE),VLOOKUP(H96,$A$29:$F$42,6,FALSE))</x:f>
        <x:v>270</x:v>
      </x:c>
      <x:c r="J96" s="22" t="n">
        <x:f>I96/$N$5</x:f>
        <x:v>0.000084375</x:v>
      </x:c>
      <x:c r="K96" s="18" t="n">
        <x:f>MAX(INDEX($I$6:$K$11,MATCH(A96,$H$6:$H$11,0),MATCH(B96&amp;"連線",$I$5:$K$5,0)),IF(C96&gt;=3,INDEX($I$6:$K$11,MATCH("W",$H$6:$H$11,0),MATCH(C96&amp;"連線",$I$5:$K$5,0)),0))</x:f>
        <x:v>30</x:v>
      </x:c>
      <x:c r="L96" s="22" t="n">
        <x:f>J96*K96</x:f>
        <x:v>0.00253125</x:v>
      </x:c>
      <x:c r="M96" s="18" t="str">
        <x:f>IF(K96&gt;INDEX($I$6:$K$11,MATCH(A96,$H$6:$H$11,0),MATCH(B96&amp;"連線",$I$5:$K$5,0)),"取 Wild 連線較高賠率","取一般圖案連線賠率")</x:f>
        <x:v>取一般圖案連線賠率</x:v>
      </x:c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 t="str">
        <x:v>K</x:v>
      </x:c>
      <x:c r="B97" s="18" t="n">
        <x:v>4</x:v>
      </x:c>
      <x:c r="C97" s="18" t="n">
        <x:f>IF(D97&lt;&gt;"W",0,IF(E97&lt;&gt;"W",1,IF(F97&lt;&gt;"W",2,IF(G97&lt;&gt;"W",3,IF(H97&lt;&gt;"W",4,5)))))</x:f>
        <x:v>0</x:v>
      </x:c>
      <x:c r="D97" s="18" t="str">
        <x:v>K</x:v>
      </x:c>
      <x:c r="E97" s="18" t="str">
        <x:v>K</x:v>
      </x:c>
      <x:c r="F97" s="18" t="str">
        <x:v>W</x:v>
      </x:c>
      <x:c r="G97" s="18" t="str">
        <x:v>K</x:v>
      </x:c>
      <x:c r="H97" s="18" t="str">
        <x:v>X_WK</x:v>
      </x:c>
      <x:c r="I97" s="21" t="n">
        <x:f>PRODUCT(VLOOKUP(D97,$A$29:$F$42,2,FALSE),VLOOKUP(E97,$A$29:$F$42,3,FALSE),VLOOKUP(F97,$A$29:$F$42,4,FALSE),VLOOKUP(G97,$A$29:$F$42,5,FALSE),VLOOKUP(H97,$A$29:$F$42,6,FALSE))</x:f>
        <x:v>270</x:v>
      </x:c>
      <x:c r="J97" s="22" t="n">
        <x:f>I97/$N$5</x:f>
        <x:v>0.000084375</x:v>
      </x:c>
      <x:c r="K97" s="18" t="n">
        <x:f>MAX(INDEX($I$6:$K$11,MATCH(A97,$H$6:$H$11,0),MATCH(B97&amp;"連線",$I$5:$K$5,0)),IF(C97&gt;=3,INDEX($I$6:$K$11,MATCH("W",$H$6:$H$11,0),MATCH(C97&amp;"連線",$I$5:$K$5,0)),0))</x:f>
        <x:v>30</x:v>
      </x:c>
      <x:c r="L97" s="22" t="n">
        <x:f>J97*K97</x:f>
        <x:v>0.00253125</x:v>
      </x:c>
      <x:c r="M97" s="18" t="str">
        <x:f>IF(K97&gt;INDEX($I$6:$K$11,MATCH(A97,$H$6:$H$11,0),MATCH(B97&amp;"連線",$I$5:$K$5,0)),"取 Wild 連線較高賠率","取一般圖案連線賠率")</x:f>
        <x:v>取一般圖案連線賠率</x:v>
      </x:c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 t="str">
        <x:v>K</x:v>
      </x:c>
      <x:c r="B98" s="18" t="n">
        <x:v>4</x:v>
      </x:c>
      <x:c r="C98" s="18" t="n">
        <x:f>IF(D98&lt;&gt;"W",0,IF(E98&lt;&gt;"W",1,IF(F98&lt;&gt;"W",2,IF(G98&lt;&gt;"W",3,IF(H98&lt;&gt;"W",4,5)))))</x:f>
        <x:v>0</x:v>
      </x:c>
      <x:c r="D98" s="18" t="str">
        <x:v>K</x:v>
      </x:c>
      <x:c r="E98" s="18" t="str">
        <x:v>K</x:v>
      </x:c>
      <x:c r="F98" s="18" t="str">
        <x:v>K</x:v>
      </x:c>
      <x:c r="G98" s="18" t="str">
        <x:v>W</x:v>
      </x:c>
      <x:c r="H98" s="18" t="str">
        <x:v>X_WK</x:v>
      </x:c>
      <x:c r="I98" s="21" t="n">
        <x:f>PRODUCT(VLOOKUP(D98,$A$29:$F$42,2,FALSE),VLOOKUP(E98,$A$29:$F$42,3,FALSE),VLOOKUP(F98,$A$29:$F$42,4,FALSE),VLOOKUP(G98,$A$29:$F$42,5,FALSE),VLOOKUP(H98,$A$29:$F$42,6,FALSE))</x:f>
        <x:v>270</x:v>
      </x:c>
      <x:c r="J98" s="22" t="n">
        <x:f>I98/$N$5</x:f>
        <x:v>0.000084375</x:v>
      </x:c>
      <x:c r="K98" s="18" t="n">
        <x:f>MAX(INDEX($I$6:$K$11,MATCH(A98,$H$6:$H$11,0),MATCH(B98&amp;"連線",$I$5:$K$5,0)),IF(C98&gt;=3,INDEX($I$6:$K$11,MATCH("W",$H$6:$H$11,0),MATCH(C98&amp;"連線",$I$5:$K$5,0)),0))</x:f>
        <x:v>30</x:v>
      </x:c>
      <x:c r="L98" s="22" t="n">
        <x:f>J98*K98</x:f>
        <x:v>0.00253125</x:v>
      </x:c>
      <x:c r="M98" s="18" t="str">
        <x:f>IF(K98&gt;INDEX($I$6:$K$11,MATCH(A98,$H$6:$H$11,0),MATCH(B98&amp;"連線",$I$5:$K$5,0)),"取 Wild 連線較高賠率","取一般圖案連線賠率")</x:f>
        <x:v>取一般圖案連線賠率</x:v>
      </x:c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 t="str">
        <x:v>K</x:v>
      </x:c>
      <x:c r="B99" s="18" t="n">
        <x:v>4</x:v>
      </x:c>
      <x:c r="C99" s="18" t="n">
        <x:f>IF(D99&lt;&gt;"W",0,IF(E99&lt;&gt;"W",1,IF(F99&lt;&gt;"W",2,IF(G99&lt;&gt;"W",3,IF(H99&lt;&gt;"W",4,5)))))</x:f>
        <x:v>2</x:v>
      </x:c>
      <x:c r="D99" s="18" t="str">
        <x:v>W</x:v>
      </x:c>
      <x:c r="E99" s="18" t="str">
        <x:v>W</x:v>
      </x:c>
      <x:c r="F99" s="18" t="str">
        <x:v>K</x:v>
      </x:c>
      <x:c r="G99" s="18" t="str">
        <x:v>K</x:v>
      </x:c>
      <x:c r="H99" s="18" t="str">
        <x:v>X_WK</x:v>
      </x:c>
      <x:c r="I99" s="21" t="n">
        <x:f>PRODUCT(VLOOKUP(D99,$A$29:$F$42,2,FALSE),VLOOKUP(E99,$A$29:$F$42,3,FALSE),VLOOKUP(F99,$A$29:$F$42,4,FALSE),VLOOKUP(G99,$A$29:$F$42,5,FALSE),VLOOKUP(H99,$A$29:$F$42,6,FALSE))</x:f>
        <x:v>540</x:v>
      </x:c>
      <x:c r="J99" s="22" t="n">
        <x:f>I99/$N$5</x:f>
        <x:v>0.00016875</x:v>
      </x:c>
      <x:c r="K99" s="18" t="n">
        <x:f>MAX(INDEX($I$6:$K$11,MATCH(A99,$H$6:$H$11,0),MATCH(B99&amp;"連線",$I$5:$K$5,0)),IF(C99&gt;=3,INDEX($I$6:$K$11,MATCH("W",$H$6:$H$11,0),MATCH(C99&amp;"連線",$I$5:$K$5,0)),0))</x:f>
        <x:v>30</x:v>
      </x:c>
      <x:c r="L99" s="22" t="n">
        <x:f>J99*K99</x:f>
        <x:v>0.0050625</x:v>
      </x:c>
      <x:c r="M99" s="18" t="str">
        <x:f>IF(K99&gt;INDEX($I$6:$K$11,MATCH(A99,$H$6:$H$11,0),MATCH(B99&amp;"連線",$I$5:$K$5,0)),"取 Wild 連線較高賠率","取一般圖案連線賠率")</x:f>
        <x:v>取一般圖案連線賠率</x:v>
      </x:c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8" t="str">
        <x:v>K</x:v>
      </x:c>
      <x:c r="B100" s="18" t="n">
        <x:v>4</x:v>
      </x:c>
      <x:c r="C100" s="18" t="n">
        <x:f>IF(D100&lt;&gt;"W",0,IF(E100&lt;&gt;"W",1,IF(F100&lt;&gt;"W",2,IF(G100&lt;&gt;"W",3,IF(H100&lt;&gt;"W",4,5)))))</x:f>
        <x:v>1</x:v>
      </x:c>
      <x:c r="D100" s="18" t="str">
        <x:v>W</x:v>
      </x:c>
      <x:c r="E100" s="18" t="str">
        <x:v>K</x:v>
      </x:c>
      <x:c r="F100" s="18" t="str">
        <x:v>W</x:v>
      </x:c>
      <x:c r="G100" s="18" t="str">
        <x:v>K</x:v>
      </x:c>
      <x:c r="H100" s="18" t="str">
        <x:v>X_WK</x:v>
      </x:c>
      <x:c r="I100" s="21" t="n">
        <x:f>PRODUCT(VLOOKUP(D100,$A$29:$F$42,2,FALSE),VLOOKUP(E100,$A$29:$F$42,3,FALSE),VLOOKUP(F100,$A$29:$F$42,4,FALSE),VLOOKUP(G100,$A$29:$F$42,5,FALSE),VLOOKUP(H100,$A$29:$F$42,6,FALSE))</x:f>
        <x:v>540</x:v>
      </x:c>
      <x:c r="J100" s="22" t="n">
        <x:f>I100/$N$5</x:f>
        <x:v>0.00016875</x:v>
      </x:c>
      <x:c r="K100" s="18" t="n">
        <x:f>MAX(INDEX($I$6:$K$11,MATCH(A100,$H$6:$H$11,0),MATCH(B100&amp;"連線",$I$5:$K$5,0)),IF(C100&gt;=3,INDEX($I$6:$K$11,MATCH("W",$H$6:$H$11,0),MATCH(C100&amp;"連線",$I$5:$K$5,0)),0))</x:f>
        <x:v>30</x:v>
      </x:c>
      <x:c r="L100" s="22" t="n">
        <x:f>J100*K100</x:f>
        <x:v>0.0050625</x:v>
      </x:c>
      <x:c r="M100" s="18" t="str">
        <x:f>IF(K100&gt;INDEX($I$6:$K$11,MATCH(A100,$H$6:$H$11,0),MATCH(B100&amp;"連線",$I$5:$K$5,0)),"取 Wild 連線較高賠率","取一般圖案連線賠率")</x:f>
        <x:v>取一般圖案連線賠率</x:v>
      </x:c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8" t="str">
        <x:v>K</x:v>
      </x:c>
      <x:c r="B101" s="18" t="n">
        <x:v>4</x:v>
      </x:c>
      <x:c r="C101" s="18" t="n">
        <x:f>IF(D101&lt;&gt;"W",0,IF(E101&lt;&gt;"W",1,IF(F101&lt;&gt;"W",2,IF(G101&lt;&gt;"W",3,IF(H101&lt;&gt;"W",4,5)))))</x:f>
        <x:v>1</x:v>
      </x:c>
      <x:c r="D101" s="18" t="str">
        <x:v>W</x:v>
      </x:c>
      <x:c r="E101" s="18" t="str">
        <x:v>K</x:v>
      </x:c>
      <x:c r="F101" s="18" t="str">
        <x:v>K</x:v>
      </x:c>
      <x:c r="G101" s="18" t="str">
        <x:v>W</x:v>
      </x:c>
      <x:c r="H101" s="18" t="str">
        <x:v>X_WK</x:v>
      </x:c>
      <x:c r="I101" s="21" t="n">
        <x:f>PRODUCT(VLOOKUP(D101,$A$29:$F$42,2,FALSE),VLOOKUP(E101,$A$29:$F$42,3,FALSE),VLOOKUP(F101,$A$29:$F$42,4,FALSE),VLOOKUP(G101,$A$29:$F$42,5,FALSE),VLOOKUP(H101,$A$29:$F$42,6,FALSE))</x:f>
        <x:v>540</x:v>
      </x:c>
      <x:c r="J101" s="22" t="n">
        <x:f>I101/$N$5</x:f>
        <x:v>0.00016875</x:v>
      </x:c>
      <x:c r="K101" s="18" t="n">
        <x:f>MAX(INDEX($I$6:$K$11,MATCH(A101,$H$6:$H$11,0),MATCH(B101&amp;"連線",$I$5:$K$5,0)),IF(C101&gt;=3,INDEX($I$6:$K$11,MATCH("W",$H$6:$H$11,0),MATCH(C101&amp;"連線",$I$5:$K$5,0)),0))</x:f>
        <x:v>30</x:v>
      </x:c>
      <x:c r="L101" s="22" t="n">
        <x:f>J101*K101</x:f>
        <x:v>0.0050625</x:v>
      </x:c>
      <x:c r="M101" s="18" t="str">
        <x:f>IF(K101&gt;INDEX($I$6:$K$11,MATCH(A101,$H$6:$H$11,0),MATCH(B101&amp;"連線",$I$5:$K$5,0)),"取 Wild 連線較高賠率","取一般圖案連線賠率")</x:f>
        <x:v>取一般圖案連線賠率</x:v>
      </x:c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18" t="str">
        <x:v>K</x:v>
      </x:c>
      <x:c r="B102" s="18" t="n">
        <x:v>4</x:v>
      </x:c>
      <x:c r="C102" s="18" t="n">
        <x:f>IF(D102&lt;&gt;"W",0,IF(E102&lt;&gt;"W",1,IF(F102&lt;&gt;"W",2,IF(G102&lt;&gt;"W",3,IF(H102&lt;&gt;"W",4,5)))))</x:f>
        <x:v>0</x:v>
      </x:c>
      <x:c r="D102" s="18" t="str">
        <x:v>K</x:v>
      </x:c>
      <x:c r="E102" s="18" t="str">
        <x:v>W</x:v>
      </x:c>
      <x:c r="F102" s="18" t="str">
        <x:v>W</x:v>
      </x:c>
      <x:c r="G102" s="18" t="str">
        <x:v>K</x:v>
      </x:c>
      <x:c r="H102" s="18" t="str">
        <x:v>X_WK</x:v>
      </x:c>
      <x:c r="I102" s="21" t="n">
        <x:f>PRODUCT(VLOOKUP(D102,$A$29:$F$42,2,FALSE),VLOOKUP(E102,$A$29:$F$42,3,FALSE),VLOOKUP(F102,$A$29:$F$42,4,FALSE),VLOOKUP(G102,$A$29:$F$42,5,FALSE),VLOOKUP(H102,$A$29:$F$42,6,FALSE))</x:f>
        <x:v>180</x:v>
      </x:c>
      <x:c r="J102" s="22" t="n">
        <x:f>I102/$N$5</x:f>
        <x:v>0.00005625</x:v>
      </x:c>
      <x:c r="K102" s="18" t="n">
        <x:f>MAX(INDEX($I$6:$K$11,MATCH(A102,$H$6:$H$11,0),MATCH(B102&amp;"連線",$I$5:$K$5,0)),IF(C102&gt;=3,INDEX($I$6:$K$11,MATCH("W",$H$6:$H$11,0),MATCH(C102&amp;"連線",$I$5:$K$5,0)),0))</x:f>
        <x:v>30</x:v>
      </x:c>
      <x:c r="L102" s="22" t="n">
        <x:f>J102*K102</x:f>
        <x:v>0.0016875</x:v>
      </x:c>
      <x:c r="M102" s="18" t="str">
        <x:f>IF(K102&gt;INDEX($I$6:$K$11,MATCH(A102,$H$6:$H$11,0),MATCH(B102&amp;"連線",$I$5:$K$5,0)),"取 Wild 連線較高賠率","取一般圖案連線賠率")</x:f>
        <x:v>取一般圖案連線賠率</x:v>
      </x:c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18" t="str">
        <x:v>K</x:v>
      </x:c>
      <x:c r="B103" s="18" t="n">
        <x:v>4</x:v>
      </x:c>
      <x:c r="C103" s="18" t="n">
        <x:f>IF(D103&lt;&gt;"W",0,IF(E103&lt;&gt;"W",1,IF(F103&lt;&gt;"W",2,IF(G103&lt;&gt;"W",3,IF(H103&lt;&gt;"W",4,5)))))</x:f>
        <x:v>0</x:v>
      </x:c>
      <x:c r="D103" s="18" t="str">
        <x:v>K</x:v>
      </x:c>
      <x:c r="E103" s="18" t="str">
        <x:v>W</x:v>
      </x:c>
      <x:c r="F103" s="18" t="str">
        <x:v>K</x:v>
      </x:c>
      <x:c r="G103" s="18" t="str">
        <x:v>W</x:v>
      </x:c>
      <x:c r="H103" s="18" t="str">
        <x:v>X_WK</x:v>
      </x:c>
      <x:c r="I103" s="21" t="n">
        <x:f>PRODUCT(VLOOKUP(D103,$A$29:$F$42,2,FALSE),VLOOKUP(E103,$A$29:$F$42,3,FALSE),VLOOKUP(F103,$A$29:$F$42,4,FALSE),VLOOKUP(G103,$A$29:$F$42,5,FALSE),VLOOKUP(H103,$A$29:$F$42,6,FALSE))</x:f>
        <x:v>180</x:v>
      </x:c>
      <x:c r="J103" s="22" t="n">
        <x:f>I103/$N$5</x:f>
        <x:v>0.00005625</x:v>
      </x:c>
      <x:c r="K103" s="18" t="n">
        <x:f>MAX(INDEX($I$6:$K$11,MATCH(A103,$H$6:$H$11,0),MATCH(B103&amp;"連線",$I$5:$K$5,0)),IF(C103&gt;=3,INDEX($I$6:$K$11,MATCH("W",$H$6:$H$11,0),MATCH(C103&amp;"連線",$I$5:$K$5,0)),0))</x:f>
        <x:v>30</x:v>
      </x:c>
      <x:c r="L103" s="22" t="n">
        <x:f>J103*K103</x:f>
        <x:v>0.0016875</x:v>
      </x:c>
      <x:c r="M103" s="18" t="str">
        <x:f>IF(K103&gt;INDEX($I$6:$K$11,MATCH(A103,$H$6:$H$11,0),MATCH(B103&amp;"連線",$I$5:$K$5,0)),"取 Wild 連線較高賠率","取一般圖案連線賠率")</x:f>
        <x:v>取一般圖案連線賠率</x:v>
      </x:c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18" t="str">
        <x:v>K</x:v>
      </x:c>
      <x:c r="B104" s="18" t="n">
        <x:v>4</x:v>
      </x:c>
      <x:c r="C104" s="18" t="n">
        <x:f>IF(D104&lt;&gt;"W",0,IF(E104&lt;&gt;"W",1,IF(F104&lt;&gt;"W",2,IF(G104&lt;&gt;"W",3,IF(H104&lt;&gt;"W",4,5)))))</x:f>
        <x:v>0</x:v>
      </x:c>
      <x:c r="D104" s="18" t="str">
        <x:v>K</x:v>
      </x:c>
      <x:c r="E104" s="18" t="str">
        <x:v>K</x:v>
      </x:c>
      <x:c r="F104" s="18" t="str">
        <x:v>W</x:v>
      </x:c>
      <x:c r="G104" s="18" t="str">
        <x:v>W</x:v>
      </x:c>
      <x:c r="H104" s="18" t="str">
        <x:v>X_WK</x:v>
      </x:c>
      <x:c r="I104" s="21" t="n">
        <x:f>PRODUCT(VLOOKUP(D104,$A$29:$F$42,2,FALSE),VLOOKUP(E104,$A$29:$F$42,3,FALSE),VLOOKUP(F104,$A$29:$F$42,4,FALSE),VLOOKUP(G104,$A$29:$F$42,5,FALSE),VLOOKUP(H104,$A$29:$F$42,6,FALSE))</x:f>
        <x:v>180</x:v>
      </x:c>
      <x:c r="J104" s="22" t="n">
        <x:f>I104/$N$5</x:f>
        <x:v>0.00005625</x:v>
      </x:c>
      <x:c r="K104" s="18" t="n">
        <x:f>MAX(INDEX($I$6:$K$11,MATCH(A104,$H$6:$H$11,0),MATCH(B104&amp;"連線",$I$5:$K$5,0)),IF(C104&gt;=3,INDEX($I$6:$K$11,MATCH("W",$H$6:$H$11,0),MATCH(C104&amp;"連線",$I$5:$K$5,0)),0))</x:f>
        <x:v>30</x:v>
      </x:c>
      <x:c r="L104" s="22" t="n">
        <x:f>J104*K104</x:f>
        <x:v>0.0016875</x:v>
      </x:c>
      <x:c r="M104" s="18" t="str">
        <x:f>IF(K104&gt;INDEX($I$6:$K$11,MATCH(A104,$H$6:$H$11,0),MATCH(B104&amp;"連線",$I$5:$K$5,0)),"取 Wild 連線較高賠率","取一般圖案連線賠率")</x:f>
        <x:v>取一般圖案連線賠率</x:v>
      </x:c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18" t="str">
        <x:v>K</x:v>
      </x:c>
      <x:c r="B105" s="18" t="n">
        <x:v>4</x:v>
      </x:c>
      <x:c r="C105" s="18" t="n">
        <x:f>IF(D105&lt;&gt;"W",0,IF(E105&lt;&gt;"W",1,IF(F105&lt;&gt;"W",2,IF(G105&lt;&gt;"W",3,IF(H105&lt;&gt;"W",4,5)))))</x:f>
        <x:v>3</x:v>
      </x:c>
      <x:c r="D105" s="18" t="str">
        <x:v>W</x:v>
      </x:c>
      <x:c r="E105" s="18" t="str">
        <x:v>W</x:v>
      </x:c>
      <x:c r="F105" s="18" t="str">
        <x:v>W</x:v>
      </x:c>
      <x:c r="G105" s="18" t="str">
        <x:v>K</x:v>
      </x:c>
      <x:c r="H105" s="18" t="str">
        <x:v>X_WK</x:v>
      </x:c>
      <x:c r="I105" s="21" t="n">
        <x:f>PRODUCT(VLOOKUP(D105,$A$29:$F$42,2,FALSE),VLOOKUP(E105,$A$29:$F$42,3,FALSE),VLOOKUP(F105,$A$29:$F$42,4,FALSE),VLOOKUP(G105,$A$29:$F$42,5,FALSE),VLOOKUP(H105,$A$29:$F$42,6,FALSE))</x:f>
        <x:v>360</x:v>
      </x:c>
      <x:c r="J105" s="22" t="n">
        <x:f>I105/$N$5</x:f>
        <x:v>0.0001125</x:v>
      </x:c>
      <x:c r="K105" s="18" t="n">
        <x:f>MAX(INDEX($I$6:$K$11,MATCH(A105,$H$6:$H$11,0),MATCH(B105&amp;"連線",$I$5:$K$5,0)),IF(C105&gt;=3,INDEX($I$6:$K$11,MATCH("W",$H$6:$H$11,0),MATCH(C105&amp;"連線",$I$5:$K$5,0)),0))</x:f>
        <x:v>150</x:v>
      </x:c>
      <x:c r="L105" s="22" t="n">
        <x:f>J105*K105</x:f>
        <x:v>0.016875</x:v>
      </x:c>
      <x:c r="M105" s="18" t="str">
        <x:f>IF(K105&gt;INDEX($I$6:$K$11,MATCH(A105,$H$6:$H$11,0),MATCH(B105&amp;"連線",$I$5:$K$5,0)),"取 Wild 連線較高賠率","取一般圖案連線賠率")</x:f>
        <x:v>取 Wild 連線較高賠率</x:v>
      </x:c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18" t="str">
        <x:v>K</x:v>
      </x:c>
      <x:c r="B106" s="18" t="n">
        <x:v>4</x:v>
      </x:c>
      <x:c r="C106" s="18" t="n">
        <x:f>IF(D106&lt;&gt;"W",0,IF(E106&lt;&gt;"W",1,IF(F106&lt;&gt;"W",2,IF(G106&lt;&gt;"W",3,IF(H106&lt;&gt;"W",4,5)))))</x:f>
        <x:v>2</x:v>
      </x:c>
      <x:c r="D106" s="18" t="str">
        <x:v>W</x:v>
      </x:c>
      <x:c r="E106" s="18" t="str">
        <x:v>W</x:v>
      </x:c>
      <x:c r="F106" s="18" t="str">
        <x:v>K</x:v>
      </x:c>
      <x:c r="G106" s="18" t="str">
        <x:v>W</x:v>
      </x:c>
      <x:c r="H106" s="18" t="str">
        <x:v>X_WK</x:v>
      </x:c>
      <x:c r="I106" s="21" t="n">
        <x:f>PRODUCT(VLOOKUP(D106,$A$29:$F$42,2,FALSE),VLOOKUP(E106,$A$29:$F$42,3,FALSE),VLOOKUP(F106,$A$29:$F$42,4,FALSE),VLOOKUP(G106,$A$29:$F$42,5,FALSE),VLOOKUP(H106,$A$29:$F$42,6,FALSE))</x:f>
        <x:v>360</x:v>
      </x:c>
      <x:c r="J106" s="22" t="n">
        <x:f>I106/$N$5</x:f>
        <x:v>0.0001125</x:v>
      </x:c>
      <x:c r="K106" s="18" t="n">
        <x:f>MAX(INDEX($I$6:$K$11,MATCH(A106,$H$6:$H$11,0),MATCH(B106&amp;"連線",$I$5:$K$5,0)),IF(C106&gt;=3,INDEX($I$6:$K$11,MATCH("W",$H$6:$H$11,0),MATCH(C106&amp;"連線",$I$5:$K$5,0)),0))</x:f>
        <x:v>30</x:v>
      </x:c>
      <x:c r="L106" s="22" t="n">
        <x:f>J106*K106</x:f>
        <x:v>0.003375</x:v>
      </x:c>
      <x:c r="M106" s="18" t="str">
        <x:f>IF(K106&gt;INDEX($I$6:$K$11,MATCH(A106,$H$6:$H$11,0),MATCH(B106&amp;"連線",$I$5:$K$5,0)),"取 Wild 連線較高賠率","取一般圖案連線賠率")</x:f>
        <x:v>取一般圖案連線賠率</x:v>
      </x:c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18" t="str">
        <x:v>K</x:v>
      </x:c>
      <x:c r="B107" s="18" t="n">
        <x:v>4</x:v>
      </x:c>
      <x:c r="C107" s="18" t="n">
        <x:f>IF(D107&lt;&gt;"W",0,IF(E107&lt;&gt;"W",1,IF(F107&lt;&gt;"W",2,IF(G107&lt;&gt;"W",3,IF(H107&lt;&gt;"W",4,5)))))</x:f>
        <x:v>1</x:v>
      </x:c>
      <x:c r="D107" s="18" t="str">
        <x:v>W</x:v>
      </x:c>
      <x:c r="E107" s="18" t="str">
        <x:v>K</x:v>
      </x:c>
      <x:c r="F107" s="18" t="str">
        <x:v>W</x:v>
      </x:c>
      <x:c r="G107" s="18" t="str">
        <x:v>W</x:v>
      </x:c>
      <x:c r="H107" s="18" t="str">
        <x:v>X_WK</x:v>
      </x:c>
      <x:c r="I107" s="21" t="n">
        <x:f>PRODUCT(VLOOKUP(D107,$A$29:$F$42,2,FALSE),VLOOKUP(E107,$A$29:$F$42,3,FALSE),VLOOKUP(F107,$A$29:$F$42,4,FALSE),VLOOKUP(G107,$A$29:$F$42,5,FALSE),VLOOKUP(H107,$A$29:$F$42,6,FALSE))</x:f>
        <x:v>360</x:v>
      </x:c>
      <x:c r="J107" s="22" t="n">
        <x:f>I107/$N$5</x:f>
        <x:v>0.0001125</x:v>
      </x:c>
      <x:c r="K107" s="18" t="n">
        <x:f>MAX(INDEX($I$6:$K$11,MATCH(A107,$H$6:$H$11,0),MATCH(B107&amp;"連線",$I$5:$K$5,0)),IF(C107&gt;=3,INDEX($I$6:$K$11,MATCH("W",$H$6:$H$11,0),MATCH(C107&amp;"連線",$I$5:$K$5,0)),0))</x:f>
        <x:v>30</x:v>
      </x:c>
      <x:c r="L107" s="22" t="n">
        <x:f>J107*K107</x:f>
        <x:v>0.003375</x:v>
      </x:c>
      <x:c r="M107" s="18" t="str">
        <x:f>IF(K107&gt;INDEX($I$6:$K$11,MATCH(A107,$H$6:$H$11,0),MATCH(B107&amp;"連線",$I$5:$K$5,0)),"取 Wild 連線較高賠率","取一般圖案連線賠率")</x:f>
        <x:v>取一般圖案連線賠率</x:v>
      </x:c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18" t="str">
        <x:v>K</x:v>
      </x:c>
      <x:c r="B108" s="18" t="n">
        <x:v>4</x:v>
      </x:c>
      <x:c r="C108" s="18" t="n">
        <x:f>IF(D108&lt;&gt;"W",0,IF(E108&lt;&gt;"W",1,IF(F108&lt;&gt;"W",2,IF(G108&lt;&gt;"W",3,IF(H108&lt;&gt;"W",4,5)))))</x:f>
        <x:v>0</x:v>
      </x:c>
      <x:c r="D108" s="18" t="str">
        <x:v>K</x:v>
      </x:c>
      <x:c r="E108" s="18" t="str">
        <x:v>W</x:v>
      </x:c>
      <x:c r="F108" s="18" t="str">
        <x:v>W</x:v>
      </x:c>
      <x:c r="G108" s="18" t="str">
        <x:v>W</x:v>
      </x:c>
      <x:c r="H108" s="18" t="str">
        <x:v>X_WK</x:v>
      </x:c>
      <x:c r="I108" s="21" t="n">
        <x:f>PRODUCT(VLOOKUP(D108,$A$29:$F$42,2,FALSE),VLOOKUP(E108,$A$29:$F$42,3,FALSE),VLOOKUP(F108,$A$29:$F$42,4,FALSE),VLOOKUP(G108,$A$29:$F$42,5,FALSE),VLOOKUP(H108,$A$29:$F$42,6,FALSE))</x:f>
        <x:v>120</x:v>
      </x:c>
      <x:c r="J108" s="22" t="n">
        <x:f>I108/$N$5</x:f>
        <x:v>0.0000375</x:v>
      </x:c>
      <x:c r="K108" s="18" t="n">
        <x:f>MAX(INDEX($I$6:$K$11,MATCH(A108,$H$6:$H$11,0),MATCH(B108&amp;"連線",$I$5:$K$5,0)),IF(C108&gt;=3,INDEX($I$6:$K$11,MATCH("W",$H$6:$H$11,0),MATCH(C108&amp;"連線",$I$5:$K$5,0)),0))</x:f>
        <x:v>30</x:v>
      </x:c>
      <x:c r="L108" s="22" t="n">
        <x:f>J108*K108</x:f>
        <x:v>0.001125</x:v>
      </x:c>
      <x:c r="M108" s="18" t="str">
        <x:f>IF(K108&gt;INDEX($I$6:$K$11,MATCH(A108,$H$6:$H$11,0),MATCH(B108&amp;"連線",$I$5:$K$5,0)),"取 Wild 連線較高賠率","取一般圖案連線賠率")</x:f>
        <x:v>取一般圖案連線賠率</x:v>
      </x:c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18" t="str">
        <x:v>K</x:v>
      </x:c>
      <x:c r="B109" s="18" t="n">
        <x:v>4</x:v>
      </x:c>
      <x:c r="C109" s="18" t="n">
        <x:f>IF(D109&lt;&gt;"W",0,IF(E109&lt;&gt;"W",1,IF(F109&lt;&gt;"W",2,IF(G109&lt;&gt;"W",3,IF(H109&lt;&gt;"W",4,5)))))</x:f>
        <x:v>4</x:v>
      </x:c>
      <x:c r="D109" s="18" t="str">
        <x:v>W</x:v>
      </x:c>
      <x:c r="E109" s="18" t="str">
        <x:v>W</x:v>
      </x:c>
      <x:c r="F109" s="18" t="str">
        <x:v>W</x:v>
      </x:c>
      <x:c r="G109" s="18" t="str">
        <x:v>W</x:v>
      </x:c>
      <x:c r="H109" s="18" t="str">
        <x:v>X_WK</x:v>
      </x:c>
      <x:c r="I109" s="21" t="n">
        <x:f>PRODUCT(VLOOKUP(D109,$A$29:$F$42,2,FALSE),VLOOKUP(E109,$A$29:$F$42,3,FALSE),VLOOKUP(F109,$A$29:$F$42,4,FALSE),VLOOKUP(G109,$A$29:$F$42,5,FALSE),VLOOKUP(H109,$A$29:$F$42,6,FALSE))</x:f>
        <x:v>240</x:v>
      </x:c>
      <x:c r="J109" s="22" t="n">
        <x:f>I109/$N$5</x:f>
        <x:v>0.000075</x:v>
      </x:c>
      <x:c r="K109" s="18" t="n">
        <x:f>MAX(INDEX($I$6:$K$11,MATCH(A109,$H$6:$H$11,0),MATCH(B109&amp;"連線",$I$5:$K$5,0)),IF(C109&gt;=3,INDEX($I$6:$K$11,MATCH("W",$H$6:$H$11,0),MATCH(C109&amp;"連線",$I$5:$K$5,0)),0))</x:f>
        <x:v>300</x:v>
      </x:c>
      <x:c r="L109" s="22" t="n">
        <x:f>J109*K109</x:f>
        <x:v>0.0225</x:v>
      </x:c>
      <x:c r="M109" s="18" t="str">
        <x:f>IF(K109&gt;INDEX($I$6:$K$11,MATCH(A109,$H$6:$H$11,0),MATCH(B109&amp;"連線",$I$5:$K$5,0)),"取 Wild 連線較高賠率","取一般圖案連線賠率")</x:f>
        <x:v>取 Wild 連線較高賠率</x:v>
      </x:c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18" t="str">
        <x:v>K</x:v>
      </x:c>
      <x:c r="B110" s="18" t="n">
        <x:v>3</x:v>
      </x:c>
      <x:c r="C110" s="18" t="n">
        <x:f>IF(D110&lt;&gt;"W",0,IF(E110&lt;&gt;"W",1,IF(F110&lt;&gt;"W",2,IF(G110&lt;&gt;"W",3,IF(H110&lt;&gt;"W",4,5)))))</x:f>
        <x:v>1</x:v>
      </x:c>
      <x:c r="D110" s="18" t="str">
        <x:v>W</x:v>
      </x:c>
      <x:c r="E110" s="18" t="str">
        <x:v>K</x:v>
      </x:c>
      <x:c r="F110" s="18" t="str">
        <x:v>K</x:v>
      </x:c>
      <x:c r="G110" s="18" t="str">
        <x:v>X_WK</x:v>
      </x:c>
      <x:c r="H110" s="18" t="str">
        <x:v>any</x:v>
      </x:c>
      <x:c r="I110" s="21" t="n">
        <x:f>PRODUCT(VLOOKUP(D110,$A$29:$F$42,2,FALSE),VLOOKUP(E110,$A$29:$F$42,3,FALSE),VLOOKUP(F110,$A$29:$F$42,4,FALSE),VLOOKUP(G110,$A$29:$F$42,5,FALSE),VLOOKUP(H110,$A$29:$F$42,6,FALSE))</x:f>
        <x:v>5400</x:v>
      </x:c>
      <x:c r="J110" s="22" t="n">
        <x:f>I110/$N$5</x:f>
        <x:v>0.0016875</x:v>
      </x:c>
      <x:c r="K110" s="18" t="n">
        <x:f>MAX(INDEX($I$6:$K$11,MATCH(A110,$H$6:$H$11,0),MATCH(B110&amp;"連線",$I$5:$K$5,0)),IF(C110&gt;=3,INDEX($I$6:$K$11,MATCH("W",$H$6:$H$11,0),MATCH(C110&amp;"連線",$I$5:$K$5,0)),0))</x:f>
        <x:v>5</x:v>
      </x:c>
      <x:c r="L110" s="22" t="n">
        <x:f>J110*K110</x:f>
        <x:v>0.0084375</x:v>
      </x:c>
      <x:c r="M110" s="18" t="str">
        <x:f>IF(K110&gt;INDEX($I$6:$K$11,MATCH(A110,$H$6:$H$11,0),MATCH(B110&amp;"連線",$I$5:$K$5,0)),"取 Wild 連線較高賠率","取一般圖案連線賠率")</x:f>
        <x:v>取一般圖案連線賠率</x:v>
      </x:c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18" t="str">
        <x:v>K</x:v>
      </x:c>
      <x:c r="B111" s="18" t="n">
        <x:v>3</x:v>
      </x:c>
      <x:c r="C111" s="18" t="n">
        <x:f>IF(D111&lt;&gt;"W",0,IF(E111&lt;&gt;"W",1,IF(F111&lt;&gt;"W",2,IF(G111&lt;&gt;"W",3,IF(H111&lt;&gt;"W",4,5)))))</x:f>
        <x:v>0</x:v>
      </x:c>
      <x:c r="D111" s="18" t="str">
        <x:v>K</x:v>
      </x:c>
      <x:c r="E111" s="18" t="str">
        <x:v>W</x:v>
      </x:c>
      <x:c r="F111" s="18" t="str">
        <x:v>K</x:v>
      </x:c>
      <x:c r="G111" s="18" t="str">
        <x:v>X_WK</x:v>
      </x:c>
      <x:c r="H111" s="18" t="str">
        <x:v>any</x:v>
      </x:c>
      <x:c r="I111" s="21" t="n">
        <x:f>PRODUCT(VLOOKUP(D111,$A$29:$F$42,2,FALSE),VLOOKUP(E111,$A$29:$F$42,3,FALSE),VLOOKUP(F111,$A$29:$F$42,4,FALSE),VLOOKUP(G111,$A$29:$F$42,5,FALSE),VLOOKUP(H111,$A$29:$F$42,6,FALSE))</x:f>
        <x:v>1800</x:v>
      </x:c>
      <x:c r="J111" s="22" t="n">
        <x:f>I111/$N$5</x:f>
        <x:v>0.0005625</x:v>
      </x:c>
      <x:c r="K111" s="18" t="n">
        <x:f>MAX(INDEX($I$6:$K$11,MATCH(A111,$H$6:$H$11,0),MATCH(B111&amp;"連線",$I$5:$K$5,0)),IF(C111&gt;=3,INDEX($I$6:$K$11,MATCH("W",$H$6:$H$11,0),MATCH(C111&amp;"連線",$I$5:$K$5,0)),0))</x:f>
        <x:v>5</x:v>
      </x:c>
      <x:c r="L111" s="22" t="n">
        <x:f>J111*K111</x:f>
        <x:v>0.0028125</x:v>
      </x:c>
      <x:c r="M111" s="18" t="str">
        <x:f>IF(K111&gt;INDEX($I$6:$K$11,MATCH(A111,$H$6:$H$11,0),MATCH(B111&amp;"連線",$I$5:$K$5,0)),"取 Wild 連線較高賠率","取一般圖案連線賠率")</x:f>
        <x:v>取一般圖案連線賠率</x:v>
      </x:c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18" t="str">
        <x:v>K</x:v>
      </x:c>
      <x:c r="B112" s="18" t="n">
        <x:v>3</x:v>
      </x:c>
      <x:c r="C112" s="18" t="n">
        <x:f>IF(D112&lt;&gt;"W",0,IF(E112&lt;&gt;"W",1,IF(F112&lt;&gt;"W",2,IF(G112&lt;&gt;"W",3,IF(H112&lt;&gt;"W",4,5)))))</x:f>
        <x:v>0</x:v>
      </x:c>
      <x:c r="D112" s="18" t="str">
        <x:v>K</x:v>
      </x:c>
      <x:c r="E112" s="18" t="str">
        <x:v>K</x:v>
      </x:c>
      <x:c r="F112" s="18" t="str">
        <x:v>W</x:v>
      </x:c>
      <x:c r="G112" s="18" t="str">
        <x:v>X_WK</x:v>
      </x:c>
      <x:c r="H112" s="18" t="str">
        <x:v>any</x:v>
      </x:c>
      <x:c r="I112" s="21" t="n">
        <x:f>PRODUCT(VLOOKUP(D112,$A$29:$F$42,2,FALSE),VLOOKUP(E112,$A$29:$F$42,3,FALSE),VLOOKUP(F112,$A$29:$F$42,4,FALSE),VLOOKUP(G112,$A$29:$F$42,5,FALSE),VLOOKUP(H112,$A$29:$F$42,6,FALSE))</x:f>
        <x:v>1800</x:v>
      </x:c>
      <x:c r="J112" s="22" t="n">
        <x:f>I112/$N$5</x:f>
        <x:v>0.0005625</x:v>
      </x:c>
      <x:c r="K112" s="18" t="n">
        <x:f>MAX(INDEX($I$6:$K$11,MATCH(A112,$H$6:$H$11,0),MATCH(B112&amp;"連線",$I$5:$K$5,0)),IF(C112&gt;=3,INDEX($I$6:$K$11,MATCH("W",$H$6:$H$11,0),MATCH(C112&amp;"連線",$I$5:$K$5,0)),0))</x:f>
        <x:v>5</x:v>
      </x:c>
      <x:c r="L112" s="22" t="n">
        <x:f>J112*K112</x:f>
        <x:v>0.0028125</x:v>
      </x:c>
      <x:c r="M112" s="18" t="str">
        <x:f>IF(K112&gt;INDEX($I$6:$K$11,MATCH(A112,$H$6:$H$11,0),MATCH(B112&amp;"連線",$I$5:$K$5,0)),"取 Wild 連線較高賠率","取一般圖案連線賠率")</x:f>
        <x:v>取一般圖案連線賠率</x:v>
      </x:c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18" t="str">
        <x:v>K</x:v>
      </x:c>
      <x:c r="B113" s="18" t="n">
        <x:v>3</x:v>
      </x:c>
      <x:c r="C113" s="18" t="n">
        <x:f>IF(D113&lt;&gt;"W",0,IF(E113&lt;&gt;"W",1,IF(F113&lt;&gt;"W",2,IF(G113&lt;&gt;"W",3,IF(H113&lt;&gt;"W",4,5)))))</x:f>
        <x:v>2</x:v>
      </x:c>
      <x:c r="D113" s="18" t="str">
        <x:v>W</x:v>
      </x:c>
      <x:c r="E113" s="18" t="str">
        <x:v>W</x:v>
      </x:c>
      <x:c r="F113" s="18" t="str">
        <x:v>K</x:v>
      </x:c>
      <x:c r="G113" s="18" t="str">
        <x:v>X_WK</x:v>
      </x:c>
      <x:c r="H113" s="18" t="str">
        <x:v>any</x:v>
      </x:c>
      <x:c r="I113" s="21" t="n">
        <x:f>PRODUCT(VLOOKUP(D113,$A$29:$F$42,2,FALSE),VLOOKUP(E113,$A$29:$F$42,3,FALSE),VLOOKUP(F113,$A$29:$F$42,4,FALSE),VLOOKUP(G113,$A$29:$F$42,5,FALSE),VLOOKUP(H113,$A$29:$F$42,6,FALSE))</x:f>
        <x:v>3600</x:v>
      </x:c>
      <x:c r="J113" s="22" t="n">
        <x:f>I113/$N$5</x:f>
        <x:v>0.001125</x:v>
      </x:c>
      <x:c r="K113" s="18" t="n">
        <x:f>MAX(INDEX($I$6:$K$11,MATCH(A113,$H$6:$H$11,0),MATCH(B113&amp;"連線",$I$5:$K$5,0)),IF(C113&gt;=3,INDEX($I$6:$K$11,MATCH("W",$H$6:$H$11,0),MATCH(C113&amp;"連線",$I$5:$K$5,0)),0))</x:f>
        <x:v>5</x:v>
      </x:c>
      <x:c r="L113" s="22" t="n">
        <x:f>J113*K113</x:f>
        <x:v>0.005625</x:v>
      </x:c>
      <x:c r="M113" s="18" t="str">
        <x:f>IF(K113&gt;INDEX($I$6:$K$11,MATCH(A113,$H$6:$H$11,0),MATCH(B113&amp;"連線",$I$5:$K$5,0)),"取 Wild 連線較高賠率","取一般圖案連線賠率")</x:f>
        <x:v>取一般圖案連線賠率</x:v>
      </x:c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18" t="str">
        <x:v>K</x:v>
      </x:c>
      <x:c r="B114" s="18" t="n">
        <x:v>3</x:v>
      </x:c>
      <x:c r="C114" s="18" t="n">
        <x:f>IF(D114&lt;&gt;"W",0,IF(E114&lt;&gt;"W",1,IF(F114&lt;&gt;"W",2,IF(G114&lt;&gt;"W",3,IF(H114&lt;&gt;"W",4,5)))))</x:f>
        <x:v>1</x:v>
      </x:c>
      <x:c r="D114" s="18" t="str">
        <x:v>W</x:v>
      </x:c>
      <x:c r="E114" s="18" t="str">
        <x:v>K</x:v>
      </x:c>
      <x:c r="F114" s="18" t="str">
        <x:v>W</x:v>
      </x:c>
      <x:c r="G114" s="18" t="str">
        <x:v>X_WK</x:v>
      </x:c>
      <x:c r="H114" s="18" t="str">
        <x:v>any</x:v>
      </x:c>
      <x:c r="I114" s="21" t="n">
        <x:f>PRODUCT(VLOOKUP(D114,$A$29:$F$42,2,FALSE),VLOOKUP(E114,$A$29:$F$42,3,FALSE),VLOOKUP(F114,$A$29:$F$42,4,FALSE),VLOOKUP(G114,$A$29:$F$42,5,FALSE),VLOOKUP(H114,$A$29:$F$42,6,FALSE))</x:f>
        <x:v>3600</x:v>
      </x:c>
      <x:c r="J114" s="22" t="n">
        <x:f>I114/$N$5</x:f>
        <x:v>0.001125</x:v>
      </x:c>
      <x:c r="K114" s="18" t="n">
        <x:f>MAX(INDEX($I$6:$K$11,MATCH(A114,$H$6:$H$11,0),MATCH(B114&amp;"連線",$I$5:$K$5,0)),IF(C114&gt;=3,INDEX($I$6:$K$11,MATCH("W",$H$6:$H$11,0),MATCH(C114&amp;"連線",$I$5:$K$5,0)),0))</x:f>
        <x:v>5</x:v>
      </x:c>
      <x:c r="L114" s="22" t="n">
        <x:f>J114*K114</x:f>
        <x:v>0.005625</x:v>
      </x:c>
      <x:c r="M114" s="18" t="str">
        <x:f>IF(K114&gt;INDEX($I$6:$K$11,MATCH(A114,$H$6:$H$11,0),MATCH(B114&amp;"連線",$I$5:$K$5,0)),"取 Wild 連線較高賠率","取一般圖案連線賠率")</x:f>
        <x:v>取一般圖案連線賠率</x:v>
      </x:c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18" t="str">
        <x:v>K</x:v>
      </x:c>
      <x:c r="B115" s="18" t="n">
        <x:v>3</x:v>
      </x:c>
      <x:c r="C115" s="18" t="n">
        <x:f>IF(D115&lt;&gt;"W",0,IF(E115&lt;&gt;"W",1,IF(F115&lt;&gt;"W",2,IF(G115&lt;&gt;"W",3,IF(H115&lt;&gt;"W",4,5)))))</x:f>
        <x:v>0</x:v>
      </x:c>
      <x:c r="D115" s="18" t="str">
        <x:v>K</x:v>
      </x:c>
      <x:c r="E115" s="18" t="str">
        <x:v>W</x:v>
      </x:c>
      <x:c r="F115" s="18" t="str">
        <x:v>W</x:v>
      </x:c>
      <x:c r="G115" s="18" t="str">
        <x:v>X_WK</x:v>
      </x:c>
      <x:c r="H115" s="18" t="str">
        <x:v>any</x:v>
      </x:c>
      <x:c r="I115" s="21" t="n">
        <x:f>PRODUCT(VLOOKUP(D115,$A$29:$F$42,2,FALSE),VLOOKUP(E115,$A$29:$F$42,3,FALSE),VLOOKUP(F115,$A$29:$F$42,4,FALSE),VLOOKUP(G115,$A$29:$F$42,5,FALSE),VLOOKUP(H115,$A$29:$F$42,6,FALSE))</x:f>
        <x:v>1200</x:v>
      </x:c>
      <x:c r="J115" s="22" t="n">
        <x:f>I115/$N$5</x:f>
        <x:v>0.000375</x:v>
      </x:c>
      <x:c r="K115" s="18" t="n">
        <x:f>MAX(INDEX($I$6:$K$11,MATCH(A115,$H$6:$H$11,0),MATCH(B115&amp;"連線",$I$5:$K$5,0)),IF(C115&gt;=3,INDEX($I$6:$K$11,MATCH("W",$H$6:$H$11,0),MATCH(C115&amp;"連線",$I$5:$K$5,0)),0))</x:f>
        <x:v>5</x:v>
      </x:c>
      <x:c r="L115" s="22" t="n">
        <x:f>J115*K115</x:f>
        <x:v>0.001875</x:v>
      </x:c>
      <x:c r="M115" s="18" t="str">
        <x:f>IF(K115&gt;INDEX($I$6:$K$11,MATCH(A115,$H$6:$H$11,0),MATCH(B115&amp;"連線",$I$5:$K$5,0)),"取 Wild 連線較高賠率","取一般圖案連線賠率")</x:f>
        <x:v>取一般圖案連線賠率</x:v>
      </x:c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18" t="str">
        <x:v>K</x:v>
      </x:c>
      <x:c r="B116" s="18" t="n">
        <x:v>3</x:v>
      </x:c>
      <x:c r="C116" s="18" t="n">
        <x:f>IF(D116&lt;&gt;"W",0,IF(E116&lt;&gt;"W",1,IF(F116&lt;&gt;"W",2,IF(G116&lt;&gt;"W",3,IF(H116&lt;&gt;"W",4,5)))))</x:f>
        <x:v>3</x:v>
      </x:c>
      <x:c r="D116" s="18" t="str">
        <x:v>W</x:v>
      </x:c>
      <x:c r="E116" s="18" t="str">
        <x:v>W</x:v>
      </x:c>
      <x:c r="F116" s="18" t="str">
        <x:v>W</x:v>
      </x:c>
      <x:c r="G116" s="18" t="str">
        <x:v>X_WK</x:v>
      </x:c>
      <x:c r="H116" s="18" t="str">
        <x:v>any</x:v>
      </x:c>
      <x:c r="I116" s="21" t="n">
        <x:f>PRODUCT(VLOOKUP(D116,$A$29:$F$42,2,FALSE),VLOOKUP(E116,$A$29:$F$42,3,FALSE),VLOOKUP(F116,$A$29:$F$42,4,FALSE),VLOOKUP(G116,$A$29:$F$42,5,FALSE),VLOOKUP(H116,$A$29:$F$42,6,FALSE))</x:f>
        <x:v>2400</x:v>
      </x:c>
      <x:c r="J116" s="22" t="n">
        <x:f>I116/$N$5</x:f>
        <x:v>0.00075</x:v>
      </x:c>
      <x:c r="K116" s="18" t="n">
        <x:f>MAX(INDEX($I$6:$K$11,MATCH(A116,$H$6:$H$11,0),MATCH(B116&amp;"連線",$I$5:$K$5,0)),IF(C116&gt;=3,INDEX($I$6:$K$11,MATCH("W",$H$6:$H$11,0),MATCH(C116&amp;"連線",$I$5:$K$5,0)),0))</x:f>
        <x:v>150</x:v>
      </x:c>
      <x:c r="L116" s="22" t="n">
        <x:f>J116*K116</x:f>
        <x:v>0.1125</x:v>
      </x:c>
      <x:c r="M116" s="18" t="str">
        <x:f>IF(K116&gt;INDEX($I$6:$K$11,MATCH(A116,$H$6:$H$11,0),MATCH(B116&amp;"連線",$I$5:$K$5,0)),"取 Wild 連線較高賠率","取一般圖案連線賠率")</x:f>
        <x:v>取 Wild 連線較高賠率</x:v>
      </x:c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18" t="str">
        <x:v>Q</x:v>
      </x:c>
      <x:c r="B117" s="18" t="n">
        <x:v>5</x:v>
      </x:c>
      <x:c r="C117" s="18" t="n">
        <x:f>IF(D117&lt;&gt;"W",0,IF(E117&lt;&gt;"W",1,IF(F117&lt;&gt;"W",2,IF(G117&lt;&gt;"W",3,IF(H117&lt;&gt;"W",4,5)))))</x:f>
        <x:v>1</x:v>
      </x:c>
      <x:c r="D117" s="18" t="str">
        <x:v>W</x:v>
      </x:c>
      <x:c r="E117" s="18" t="str">
        <x:v>Q</x:v>
      </x:c>
      <x:c r="F117" s="18" t="str">
        <x:v>Q</x:v>
      </x:c>
      <x:c r="G117" s="18" t="str">
        <x:v>Q</x:v>
      </x:c>
      <x:c r="H117" s="18" t="str">
        <x:v>Q</x:v>
      </x:c>
      <x:c r="I117" s="21" t="n">
        <x:f>PRODUCT(VLOOKUP(D117,$A$29:$F$42,2,FALSE),VLOOKUP(E117,$A$29:$F$42,3,FALSE),VLOOKUP(F117,$A$29:$F$42,4,FALSE),VLOOKUP(G117,$A$29:$F$42,5,FALSE),VLOOKUP(H117,$A$29:$F$42,6,FALSE))</x:f>
        <x:v>162</x:v>
      </x:c>
      <x:c r="J117" s="22" t="n">
        <x:f>I117/$N$5</x:f>
        <x:v>0.000050625</x:v>
      </x:c>
      <x:c r="K117" s="18" t="n">
        <x:f>MAX(INDEX($I$6:$K$11,MATCH(A117,$H$6:$H$11,0),MATCH(B117&amp;"連線",$I$5:$K$5,0)),IF(C117&gt;=3,INDEX($I$6:$K$11,MATCH("W",$H$6:$H$11,0),MATCH(C117&amp;"連線",$I$5:$K$5,0)),0))</x:f>
        <x:v>100</x:v>
      </x:c>
      <x:c r="L117" s="22" t="n">
        <x:f>J117*K117</x:f>
        <x:v>0.005062499999999999</x:v>
      </x:c>
      <x:c r="M117" s="18" t="str">
        <x:f>IF(K117&gt;INDEX($I$6:$K$11,MATCH(A117,$H$6:$H$11,0),MATCH(B117&amp;"連線",$I$5:$K$5,0)),"取 Wild 連線較高賠率","取一般圖案連線賠率")</x:f>
        <x:v>取一般圖案連線賠率</x:v>
      </x:c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18" t="str">
        <x:v>Q</x:v>
      </x:c>
      <x:c r="B118" s="18" t="n">
        <x:v>5</x:v>
      </x:c>
      <x:c r="C118" s="18" t="n">
        <x:f>IF(D118&lt;&gt;"W",0,IF(E118&lt;&gt;"W",1,IF(F118&lt;&gt;"W",2,IF(G118&lt;&gt;"W",3,IF(H118&lt;&gt;"W",4,5)))))</x:f>
        <x:v>0</x:v>
      </x:c>
      <x:c r="D118" s="18" t="str">
        <x:v>Q</x:v>
      </x:c>
      <x:c r="E118" s="18" t="str">
        <x:v>W</x:v>
      </x:c>
      <x:c r="F118" s="18" t="str">
        <x:v>Q</x:v>
      </x:c>
      <x:c r="G118" s="18" t="str">
        <x:v>Q</x:v>
      </x:c>
      <x:c r="H118" s="18" t="str">
        <x:v>Q</x:v>
      </x:c>
      <x:c r="I118" s="21" t="n">
        <x:f>PRODUCT(VLOOKUP(D118,$A$29:$F$42,2,FALSE),VLOOKUP(E118,$A$29:$F$42,3,FALSE),VLOOKUP(F118,$A$29:$F$42,4,FALSE),VLOOKUP(G118,$A$29:$F$42,5,FALSE),VLOOKUP(H118,$A$29:$F$42,6,FALSE))</x:f>
        <x:v>108</x:v>
      </x:c>
      <x:c r="J118" s="22" t="n">
        <x:f>I118/$N$5</x:f>
        <x:v>0.00003375</x:v>
      </x:c>
      <x:c r="K118" s="18" t="n">
        <x:f>MAX(INDEX($I$6:$K$11,MATCH(A118,$H$6:$H$11,0),MATCH(B118&amp;"連線",$I$5:$K$5,0)),IF(C118&gt;=3,INDEX($I$6:$K$11,MATCH("W",$H$6:$H$11,0),MATCH(C118&amp;"連線",$I$5:$K$5,0)),0))</x:f>
        <x:v>100</x:v>
      </x:c>
      <x:c r="L118" s="22" t="n">
        <x:f>J118*K118</x:f>
        <x:v>0.003375</x:v>
      </x:c>
      <x:c r="M118" s="18" t="str">
        <x:f>IF(K118&gt;INDEX($I$6:$K$11,MATCH(A118,$H$6:$H$11,0),MATCH(B118&amp;"連線",$I$5:$K$5,0)),"取 Wild 連線較高賠率","取一般圖案連線賠率")</x:f>
        <x:v>取一般圖案連線賠率</x:v>
      </x:c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18" t="str">
        <x:v>Q</x:v>
      </x:c>
      <x:c r="B119" s="18" t="n">
        <x:v>5</x:v>
      </x:c>
      <x:c r="C119" s="18" t="n">
        <x:f>IF(D119&lt;&gt;"W",0,IF(E119&lt;&gt;"W",1,IF(F119&lt;&gt;"W",2,IF(G119&lt;&gt;"W",3,IF(H119&lt;&gt;"W",4,5)))))</x:f>
        <x:v>0</x:v>
      </x:c>
      <x:c r="D119" s="18" t="str">
        <x:v>Q</x:v>
      </x:c>
      <x:c r="E119" s="18" t="str">
        <x:v>Q</x:v>
      </x:c>
      <x:c r="F119" s="18" t="str">
        <x:v>W</x:v>
      </x:c>
      <x:c r="G119" s="18" t="str">
        <x:v>Q</x:v>
      </x:c>
      <x:c r="H119" s="18" t="str">
        <x:v>Q</x:v>
      </x:c>
      <x:c r="I119" s="21" t="n">
        <x:f>PRODUCT(VLOOKUP(D119,$A$29:$F$42,2,FALSE),VLOOKUP(E119,$A$29:$F$42,3,FALSE),VLOOKUP(F119,$A$29:$F$42,4,FALSE),VLOOKUP(G119,$A$29:$F$42,5,FALSE),VLOOKUP(H119,$A$29:$F$42,6,FALSE))</x:f>
        <x:v>108</x:v>
      </x:c>
      <x:c r="J119" s="22" t="n">
        <x:f>I119/$N$5</x:f>
        <x:v>0.00003375</x:v>
      </x:c>
      <x:c r="K119" s="18" t="n">
        <x:f>MAX(INDEX($I$6:$K$11,MATCH(A119,$H$6:$H$11,0),MATCH(B119&amp;"連線",$I$5:$K$5,0)),IF(C119&gt;=3,INDEX($I$6:$K$11,MATCH("W",$H$6:$H$11,0),MATCH(C119&amp;"連線",$I$5:$K$5,0)),0))</x:f>
        <x:v>100</x:v>
      </x:c>
      <x:c r="L119" s="22" t="n">
        <x:f>J119*K119</x:f>
        <x:v>0.003375</x:v>
      </x:c>
      <x:c r="M119" s="18" t="str">
        <x:f>IF(K119&gt;INDEX($I$6:$K$11,MATCH(A119,$H$6:$H$11,0),MATCH(B119&amp;"連線",$I$5:$K$5,0)),"取 Wild 連線較高賠率","取一般圖案連線賠率")</x:f>
        <x:v>取一般圖案連線賠率</x:v>
      </x:c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18" t="str">
        <x:v>Q</x:v>
      </x:c>
      <x:c r="B120" s="18" t="n">
        <x:v>5</x:v>
      </x:c>
      <x:c r="C120" s="18" t="n">
        <x:f>IF(D120&lt;&gt;"W",0,IF(E120&lt;&gt;"W",1,IF(F120&lt;&gt;"W",2,IF(G120&lt;&gt;"W",3,IF(H120&lt;&gt;"W",4,5)))))</x:f>
        <x:v>0</x:v>
      </x:c>
      <x:c r="D120" s="18" t="str">
        <x:v>Q</x:v>
      </x:c>
      <x:c r="E120" s="18" t="str">
        <x:v>Q</x:v>
      </x:c>
      <x:c r="F120" s="18" t="str">
        <x:v>Q</x:v>
      </x:c>
      <x:c r="G120" s="18" t="str">
        <x:v>W</x:v>
      </x:c>
      <x:c r="H120" s="18" t="str">
        <x:v>Q</x:v>
      </x:c>
      <x:c r="I120" s="21" t="n">
        <x:f>PRODUCT(VLOOKUP(D120,$A$29:$F$42,2,FALSE),VLOOKUP(E120,$A$29:$F$42,3,FALSE),VLOOKUP(F120,$A$29:$F$42,4,FALSE),VLOOKUP(G120,$A$29:$F$42,5,FALSE),VLOOKUP(H120,$A$29:$F$42,6,FALSE))</x:f>
        <x:v>108</x:v>
      </x:c>
      <x:c r="J120" s="22" t="n">
        <x:f>I120/$N$5</x:f>
        <x:v>0.00003375</x:v>
      </x:c>
      <x:c r="K120" s="18" t="n">
        <x:f>MAX(INDEX($I$6:$K$11,MATCH(A120,$H$6:$H$11,0),MATCH(B120&amp;"連線",$I$5:$K$5,0)),IF(C120&gt;=3,INDEX($I$6:$K$11,MATCH("W",$H$6:$H$11,0),MATCH(C120&amp;"連線",$I$5:$K$5,0)),0))</x:f>
        <x:v>100</x:v>
      </x:c>
      <x:c r="L120" s="22" t="n">
        <x:f>J120*K120</x:f>
        <x:v>0.003375</x:v>
      </x:c>
      <x:c r="M120" s="18" t="str">
        <x:f>IF(K120&gt;INDEX($I$6:$K$11,MATCH(A120,$H$6:$H$11,0),MATCH(B120&amp;"連線",$I$5:$K$5,0)),"取 Wild 連線較高賠率","取一般圖案連線賠率")</x:f>
        <x:v>取一般圖案連線賠率</x:v>
      </x:c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18" t="str">
        <x:v>Q</x:v>
      </x:c>
      <x:c r="B121" s="18" t="n">
        <x:v>5</x:v>
      </x:c>
      <x:c r="C121" s="18" t="n">
        <x:f>IF(D121&lt;&gt;"W",0,IF(E121&lt;&gt;"W",1,IF(F121&lt;&gt;"W",2,IF(G121&lt;&gt;"W",3,IF(H121&lt;&gt;"W",4,5)))))</x:f>
        <x:v>0</x:v>
      </x:c>
      <x:c r="D121" s="18" t="str">
        <x:v>Q</x:v>
      </x:c>
      <x:c r="E121" s="18" t="str">
        <x:v>Q</x:v>
      </x:c>
      <x:c r="F121" s="18" t="str">
        <x:v>Q</x:v>
      </x:c>
      <x:c r="G121" s="18" t="str">
        <x:v>Q</x:v>
      </x:c>
      <x:c r="H121" s="18" t="str">
        <x:v>W</x:v>
      </x:c>
      <x:c r="I121" s="21" t="n">
        <x:f>PRODUCT(VLOOKUP(D121,$A$29:$F$42,2,FALSE),VLOOKUP(E121,$A$29:$F$42,3,FALSE),VLOOKUP(F121,$A$29:$F$42,4,FALSE),VLOOKUP(G121,$A$29:$F$42,5,FALSE),VLOOKUP(H121,$A$29:$F$42,6,FALSE))</x:f>
        <x:v>108</x:v>
      </x:c>
      <x:c r="J121" s="22" t="n">
        <x:f>I121/$N$5</x:f>
        <x:v>0.00003375</x:v>
      </x:c>
      <x:c r="K121" s="18" t="n">
        <x:f>MAX(INDEX($I$6:$K$11,MATCH(A121,$H$6:$H$11,0),MATCH(B121&amp;"連線",$I$5:$K$5,0)),IF(C121&gt;=3,INDEX($I$6:$K$11,MATCH("W",$H$6:$H$11,0),MATCH(C121&amp;"連線",$I$5:$K$5,0)),0))</x:f>
        <x:v>100</x:v>
      </x:c>
      <x:c r="L121" s="22" t="n">
        <x:f>J121*K121</x:f>
        <x:v>0.003375</x:v>
      </x:c>
      <x:c r="M121" s="18" t="str">
        <x:f>IF(K121&gt;INDEX($I$6:$K$11,MATCH(A121,$H$6:$H$11,0),MATCH(B121&amp;"連線",$I$5:$K$5,0)),"取 Wild 連線較高賠率","取一般圖案連線賠率")</x:f>
        <x:v>取一般圖案連線賠率</x:v>
      </x:c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18" t="str">
        <x:v>Q</x:v>
      </x:c>
      <x:c r="B122" s="18" t="n">
        <x:v>5</x:v>
      </x:c>
      <x:c r="C122" s="18" t="n">
        <x:f>IF(D122&lt;&gt;"W",0,IF(E122&lt;&gt;"W",1,IF(F122&lt;&gt;"W",2,IF(G122&lt;&gt;"W",3,IF(H122&lt;&gt;"W",4,5)))))</x:f>
        <x:v>2</x:v>
      </x:c>
      <x:c r="D122" s="18" t="str">
        <x:v>W</x:v>
      </x:c>
      <x:c r="E122" s="18" t="str">
        <x:v>W</x:v>
      </x:c>
      <x:c r="F122" s="18" t="str">
        <x:v>Q</x:v>
      </x:c>
      <x:c r="G122" s="18" t="str">
        <x:v>Q</x:v>
      </x:c>
      <x:c r="H122" s="18" t="str">
        <x:v>Q</x:v>
      </x:c>
      <x:c r="I122" s="21" t="n">
        <x:f>PRODUCT(VLOOKUP(D122,$A$29:$F$42,2,FALSE),VLOOKUP(E122,$A$29:$F$42,3,FALSE),VLOOKUP(F122,$A$29:$F$42,4,FALSE),VLOOKUP(G122,$A$29:$F$42,5,FALSE),VLOOKUP(H122,$A$29:$F$42,6,FALSE))</x:f>
        <x:v>108</x:v>
      </x:c>
      <x:c r="J122" s="22" t="n">
        <x:f>I122/$N$5</x:f>
        <x:v>0.00003375</x:v>
      </x:c>
      <x:c r="K122" s="18" t="n">
        <x:f>MAX(INDEX($I$6:$K$11,MATCH(A122,$H$6:$H$11,0),MATCH(B122&amp;"連線",$I$5:$K$5,0)),IF(C122&gt;=3,INDEX($I$6:$K$11,MATCH("W",$H$6:$H$11,0),MATCH(C122&amp;"連線",$I$5:$K$5,0)),0))</x:f>
        <x:v>100</x:v>
      </x:c>
      <x:c r="L122" s="22" t="n">
        <x:f>J122*K122</x:f>
        <x:v>0.003375</x:v>
      </x:c>
      <x:c r="M122" s="18" t="str">
        <x:f>IF(K122&gt;INDEX($I$6:$K$11,MATCH(A122,$H$6:$H$11,0),MATCH(B122&amp;"連線",$I$5:$K$5,0)),"取 Wild 連線較高賠率","取一般圖案連線賠率")</x:f>
        <x:v>取一般圖案連線賠率</x:v>
      </x:c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18" t="str">
        <x:v>Q</x:v>
      </x:c>
      <x:c r="B123" s="18" t="n">
        <x:v>5</x:v>
      </x:c>
      <x:c r="C123" s="18" t="n">
        <x:f>IF(D123&lt;&gt;"W",0,IF(E123&lt;&gt;"W",1,IF(F123&lt;&gt;"W",2,IF(G123&lt;&gt;"W",3,IF(H123&lt;&gt;"W",4,5)))))</x:f>
        <x:v>1</x:v>
      </x:c>
      <x:c r="D123" s="18" t="str">
        <x:v>W</x:v>
      </x:c>
      <x:c r="E123" s="18" t="str">
        <x:v>Q</x:v>
      </x:c>
      <x:c r="F123" s="18" t="str">
        <x:v>W</x:v>
      </x:c>
      <x:c r="G123" s="18" t="str">
        <x:v>Q</x:v>
      </x:c>
      <x:c r="H123" s="18" t="str">
        <x:v>Q</x:v>
      </x:c>
      <x:c r="I123" s="21" t="n">
        <x:f>PRODUCT(VLOOKUP(D123,$A$29:$F$42,2,FALSE),VLOOKUP(E123,$A$29:$F$42,3,FALSE),VLOOKUP(F123,$A$29:$F$42,4,FALSE),VLOOKUP(G123,$A$29:$F$42,5,FALSE),VLOOKUP(H123,$A$29:$F$42,6,FALSE))</x:f>
        <x:v>108</x:v>
      </x:c>
      <x:c r="J123" s="22" t="n">
        <x:f>I123/$N$5</x:f>
        <x:v>0.00003375</x:v>
      </x:c>
      <x:c r="K123" s="18" t="n">
        <x:f>MAX(INDEX($I$6:$K$11,MATCH(A123,$H$6:$H$11,0),MATCH(B123&amp;"連線",$I$5:$K$5,0)),IF(C123&gt;=3,INDEX($I$6:$K$11,MATCH("W",$H$6:$H$11,0),MATCH(C123&amp;"連線",$I$5:$K$5,0)),0))</x:f>
        <x:v>100</x:v>
      </x:c>
      <x:c r="L123" s="22" t="n">
        <x:f>J123*K123</x:f>
        <x:v>0.003375</x:v>
      </x:c>
      <x:c r="M123" s="18" t="str">
        <x:f>IF(K123&gt;INDEX($I$6:$K$11,MATCH(A123,$H$6:$H$11,0),MATCH(B123&amp;"連線",$I$5:$K$5,0)),"取 Wild 連線較高賠率","取一般圖案連線賠率")</x:f>
        <x:v>取一般圖案連線賠率</x:v>
      </x:c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18" t="str">
        <x:v>Q</x:v>
      </x:c>
      <x:c r="B124" s="18" t="n">
        <x:v>5</x:v>
      </x:c>
      <x:c r="C124" s="18" t="n">
        <x:f>IF(D124&lt;&gt;"W",0,IF(E124&lt;&gt;"W",1,IF(F124&lt;&gt;"W",2,IF(G124&lt;&gt;"W",3,IF(H124&lt;&gt;"W",4,5)))))</x:f>
        <x:v>1</x:v>
      </x:c>
      <x:c r="D124" s="18" t="str">
        <x:v>W</x:v>
      </x:c>
      <x:c r="E124" s="18" t="str">
        <x:v>Q</x:v>
      </x:c>
      <x:c r="F124" s="18" t="str">
        <x:v>Q</x:v>
      </x:c>
      <x:c r="G124" s="18" t="str">
        <x:v>W</x:v>
      </x:c>
      <x:c r="H124" s="18" t="str">
        <x:v>Q</x:v>
      </x:c>
      <x:c r="I124" s="21" t="n">
        <x:f>PRODUCT(VLOOKUP(D124,$A$29:$F$42,2,FALSE),VLOOKUP(E124,$A$29:$F$42,3,FALSE),VLOOKUP(F124,$A$29:$F$42,4,FALSE),VLOOKUP(G124,$A$29:$F$42,5,FALSE),VLOOKUP(H124,$A$29:$F$42,6,FALSE))</x:f>
        <x:v>108</x:v>
      </x:c>
      <x:c r="J124" s="22" t="n">
        <x:f>I124/$N$5</x:f>
        <x:v>0.00003375</x:v>
      </x:c>
      <x:c r="K124" s="18" t="n">
        <x:f>MAX(INDEX($I$6:$K$11,MATCH(A124,$H$6:$H$11,0),MATCH(B124&amp;"連線",$I$5:$K$5,0)),IF(C124&gt;=3,INDEX($I$6:$K$11,MATCH("W",$H$6:$H$11,0),MATCH(C124&amp;"連線",$I$5:$K$5,0)),0))</x:f>
        <x:v>100</x:v>
      </x:c>
      <x:c r="L124" s="22" t="n">
        <x:f>J124*K124</x:f>
        <x:v>0.003375</x:v>
      </x:c>
      <x:c r="M124" s="18" t="str">
        <x:f>IF(K124&gt;INDEX($I$6:$K$11,MATCH(A124,$H$6:$H$11,0),MATCH(B124&amp;"連線",$I$5:$K$5,0)),"取 Wild 連線較高賠率","取一般圖案連線賠率")</x:f>
        <x:v>取一般圖案連線賠率</x:v>
      </x:c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18" t="str">
        <x:v>Q</x:v>
      </x:c>
      <x:c r="B125" s="18" t="n">
        <x:v>5</x:v>
      </x:c>
      <x:c r="C125" s="18" t="n">
        <x:f>IF(D125&lt;&gt;"W",0,IF(E125&lt;&gt;"W",1,IF(F125&lt;&gt;"W",2,IF(G125&lt;&gt;"W",3,IF(H125&lt;&gt;"W",4,5)))))</x:f>
        <x:v>1</x:v>
      </x:c>
      <x:c r="D125" s="18" t="str">
        <x:v>W</x:v>
      </x:c>
      <x:c r="E125" s="18" t="str">
        <x:v>Q</x:v>
      </x:c>
      <x:c r="F125" s="18" t="str">
        <x:v>Q</x:v>
      </x:c>
      <x:c r="G125" s="18" t="str">
        <x:v>Q</x:v>
      </x:c>
      <x:c r="H125" s="18" t="str">
        <x:v>W</x:v>
      </x:c>
      <x:c r="I125" s="21" t="n">
        <x:f>PRODUCT(VLOOKUP(D125,$A$29:$F$42,2,FALSE),VLOOKUP(E125,$A$29:$F$42,3,FALSE),VLOOKUP(F125,$A$29:$F$42,4,FALSE),VLOOKUP(G125,$A$29:$F$42,5,FALSE),VLOOKUP(H125,$A$29:$F$42,6,FALSE))</x:f>
        <x:v>108</x:v>
      </x:c>
      <x:c r="J125" s="22" t="n">
        <x:f>I125/$N$5</x:f>
        <x:v>0.00003375</x:v>
      </x:c>
      <x:c r="K125" s="18" t="n">
        <x:f>MAX(INDEX($I$6:$K$11,MATCH(A125,$H$6:$H$11,0),MATCH(B125&amp;"連線",$I$5:$K$5,0)),IF(C125&gt;=3,INDEX($I$6:$K$11,MATCH("W",$H$6:$H$11,0),MATCH(C125&amp;"連線",$I$5:$K$5,0)),0))</x:f>
        <x:v>100</x:v>
      </x:c>
      <x:c r="L125" s="22" t="n">
        <x:f>J125*K125</x:f>
        <x:v>0.003375</x:v>
      </x:c>
      <x:c r="M125" s="18" t="str">
        <x:f>IF(K125&gt;INDEX($I$6:$K$11,MATCH(A125,$H$6:$H$11,0),MATCH(B125&amp;"連線",$I$5:$K$5,0)),"取 Wild 連線較高賠率","取一般圖案連線賠率")</x:f>
        <x:v>取一般圖案連線賠率</x:v>
      </x:c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18" t="str">
        <x:v>Q</x:v>
      </x:c>
      <x:c r="B126" s="18" t="n">
        <x:v>5</x:v>
      </x:c>
      <x:c r="C126" s="18" t="n">
        <x:f>IF(D126&lt;&gt;"W",0,IF(E126&lt;&gt;"W",1,IF(F126&lt;&gt;"W",2,IF(G126&lt;&gt;"W",3,IF(H126&lt;&gt;"W",4,5)))))</x:f>
        <x:v>0</x:v>
      </x:c>
      <x:c r="D126" s="18" t="str">
        <x:v>Q</x:v>
      </x:c>
      <x:c r="E126" s="18" t="str">
        <x:v>W</x:v>
      </x:c>
      <x:c r="F126" s="18" t="str">
        <x:v>W</x:v>
      </x:c>
      <x:c r="G126" s="18" t="str">
        <x:v>Q</x:v>
      </x:c>
      <x:c r="H126" s="18" t="str">
        <x:v>Q</x:v>
      </x:c>
      <x:c r="I126" s="21" t="n">
        <x:f>PRODUCT(VLOOKUP(D126,$A$29:$F$42,2,FALSE),VLOOKUP(E126,$A$29:$F$42,3,FALSE),VLOOKUP(F126,$A$29:$F$42,4,FALSE),VLOOKUP(G126,$A$29:$F$42,5,FALSE),VLOOKUP(H126,$A$29:$F$42,6,FALSE))</x:f>
        <x:v>72</x:v>
      </x:c>
      <x:c r="J126" s="22" t="n">
        <x:f>I126/$N$5</x:f>
        <x:v>0.0000225</x:v>
      </x:c>
      <x:c r="K126" s="18" t="n">
        <x:f>MAX(INDEX($I$6:$K$11,MATCH(A126,$H$6:$H$11,0),MATCH(B126&amp;"連線",$I$5:$K$5,0)),IF(C126&gt;=3,INDEX($I$6:$K$11,MATCH("W",$H$6:$H$11,0),MATCH(C126&amp;"連線",$I$5:$K$5,0)),0))</x:f>
        <x:v>100</x:v>
      </x:c>
      <x:c r="L126" s="22" t="n">
        <x:f>J126*K126</x:f>
        <x:v>0.0022500000000000003</x:v>
      </x:c>
      <x:c r="M126" s="18" t="str">
        <x:f>IF(K126&gt;INDEX($I$6:$K$11,MATCH(A126,$H$6:$H$11,0),MATCH(B126&amp;"連線",$I$5:$K$5,0)),"取 Wild 連線較高賠率","取一般圖案連線賠率")</x:f>
        <x:v>取一般圖案連線賠率</x:v>
      </x:c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18" t="str">
        <x:v>Q</x:v>
      </x:c>
      <x:c r="B127" s="18" t="n">
        <x:v>5</x:v>
      </x:c>
      <x:c r="C127" s="18" t="n">
        <x:f>IF(D127&lt;&gt;"W",0,IF(E127&lt;&gt;"W",1,IF(F127&lt;&gt;"W",2,IF(G127&lt;&gt;"W",3,IF(H127&lt;&gt;"W",4,5)))))</x:f>
        <x:v>0</x:v>
      </x:c>
      <x:c r="D127" s="18" t="str">
        <x:v>Q</x:v>
      </x:c>
      <x:c r="E127" s="18" t="str">
        <x:v>W</x:v>
      </x:c>
      <x:c r="F127" s="18" t="str">
        <x:v>Q</x:v>
      </x:c>
      <x:c r="G127" s="18" t="str">
        <x:v>W</x:v>
      </x:c>
      <x:c r="H127" s="18" t="str">
        <x:v>Q</x:v>
      </x:c>
      <x:c r="I127" s="21" t="n">
        <x:f>PRODUCT(VLOOKUP(D127,$A$29:$F$42,2,FALSE),VLOOKUP(E127,$A$29:$F$42,3,FALSE),VLOOKUP(F127,$A$29:$F$42,4,FALSE),VLOOKUP(G127,$A$29:$F$42,5,FALSE),VLOOKUP(H127,$A$29:$F$42,6,FALSE))</x:f>
        <x:v>72</x:v>
      </x:c>
      <x:c r="J127" s="22" t="n">
        <x:f>I127/$N$5</x:f>
        <x:v>0.0000225</x:v>
      </x:c>
      <x:c r="K127" s="18" t="n">
        <x:f>MAX(INDEX($I$6:$K$11,MATCH(A127,$H$6:$H$11,0),MATCH(B127&amp;"連線",$I$5:$K$5,0)),IF(C127&gt;=3,INDEX($I$6:$K$11,MATCH("W",$H$6:$H$11,0),MATCH(C127&amp;"連線",$I$5:$K$5,0)),0))</x:f>
        <x:v>100</x:v>
      </x:c>
      <x:c r="L127" s="22" t="n">
        <x:f>J127*K127</x:f>
        <x:v>0.0022500000000000003</x:v>
      </x:c>
      <x:c r="M127" s="18" t="str">
        <x:f>IF(K127&gt;INDEX($I$6:$K$11,MATCH(A127,$H$6:$H$11,0),MATCH(B127&amp;"連線",$I$5:$K$5,0)),"取 Wild 連線較高賠率","取一般圖案連線賠率")</x:f>
        <x:v>取一般圖案連線賠率</x:v>
      </x:c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18" t="str">
        <x:v>Q</x:v>
      </x:c>
      <x:c r="B128" s="18" t="n">
        <x:v>5</x:v>
      </x:c>
      <x:c r="C128" s="18" t="n">
        <x:f>IF(D128&lt;&gt;"W",0,IF(E128&lt;&gt;"W",1,IF(F128&lt;&gt;"W",2,IF(G128&lt;&gt;"W",3,IF(H128&lt;&gt;"W",4,5)))))</x:f>
        <x:v>0</x:v>
      </x:c>
      <x:c r="D128" s="18" t="str">
        <x:v>Q</x:v>
      </x:c>
      <x:c r="E128" s="18" t="str">
        <x:v>W</x:v>
      </x:c>
      <x:c r="F128" s="18" t="str">
        <x:v>Q</x:v>
      </x:c>
      <x:c r="G128" s="18" t="str">
        <x:v>Q</x:v>
      </x:c>
      <x:c r="H128" s="18" t="str">
        <x:v>W</x:v>
      </x:c>
      <x:c r="I128" s="21" t="n">
        <x:f>PRODUCT(VLOOKUP(D128,$A$29:$F$42,2,FALSE),VLOOKUP(E128,$A$29:$F$42,3,FALSE),VLOOKUP(F128,$A$29:$F$42,4,FALSE),VLOOKUP(G128,$A$29:$F$42,5,FALSE),VLOOKUP(H128,$A$29:$F$42,6,FALSE))</x:f>
        <x:v>72</x:v>
      </x:c>
      <x:c r="J128" s="22" t="n">
        <x:f>I128/$N$5</x:f>
        <x:v>0.0000225</x:v>
      </x:c>
      <x:c r="K128" s="18" t="n">
        <x:f>MAX(INDEX($I$6:$K$11,MATCH(A128,$H$6:$H$11,0),MATCH(B128&amp;"連線",$I$5:$K$5,0)),IF(C128&gt;=3,INDEX($I$6:$K$11,MATCH("W",$H$6:$H$11,0),MATCH(C128&amp;"連線",$I$5:$K$5,0)),0))</x:f>
        <x:v>100</x:v>
      </x:c>
      <x:c r="L128" s="22" t="n">
        <x:f>J128*K128</x:f>
        <x:v>0.0022500000000000003</x:v>
      </x:c>
      <x:c r="M128" s="18" t="str">
        <x:f>IF(K128&gt;INDEX($I$6:$K$11,MATCH(A128,$H$6:$H$11,0),MATCH(B128&amp;"連線",$I$5:$K$5,0)),"取 Wild 連線較高賠率","取一般圖案連線賠率")</x:f>
        <x:v>取一般圖案連線賠率</x:v>
      </x:c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18" t="str">
        <x:v>Q</x:v>
      </x:c>
      <x:c r="B129" s="18" t="n">
        <x:v>5</x:v>
      </x:c>
      <x:c r="C129" s="18" t="n">
        <x:f>IF(D129&lt;&gt;"W",0,IF(E129&lt;&gt;"W",1,IF(F129&lt;&gt;"W",2,IF(G129&lt;&gt;"W",3,IF(H129&lt;&gt;"W",4,5)))))</x:f>
        <x:v>0</x:v>
      </x:c>
      <x:c r="D129" s="18" t="str">
        <x:v>Q</x:v>
      </x:c>
      <x:c r="E129" s="18" t="str">
        <x:v>Q</x:v>
      </x:c>
      <x:c r="F129" s="18" t="str">
        <x:v>W</x:v>
      </x:c>
      <x:c r="G129" s="18" t="str">
        <x:v>W</x:v>
      </x:c>
      <x:c r="H129" s="18" t="str">
        <x:v>Q</x:v>
      </x:c>
      <x:c r="I129" s="21" t="n">
        <x:f>PRODUCT(VLOOKUP(D129,$A$29:$F$42,2,FALSE),VLOOKUP(E129,$A$29:$F$42,3,FALSE),VLOOKUP(F129,$A$29:$F$42,4,FALSE),VLOOKUP(G129,$A$29:$F$42,5,FALSE),VLOOKUP(H129,$A$29:$F$42,6,FALSE))</x:f>
        <x:v>72</x:v>
      </x:c>
      <x:c r="J129" s="22" t="n">
        <x:f>I129/$N$5</x:f>
        <x:v>0.0000225</x:v>
      </x:c>
      <x:c r="K129" s="18" t="n">
        <x:f>MAX(INDEX($I$6:$K$11,MATCH(A129,$H$6:$H$11,0),MATCH(B129&amp;"連線",$I$5:$K$5,0)),IF(C129&gt;=3,INDEX($I$6:$K$11,MATCH("W",$H$6:$H$11,0),MATCH(C129&amp;"連線",$I$5:$K$5,0)),0))</x:f>
        <x:v>100</x:v>
      </x:c>
      <x:c r="L129" s="22" t="n">
        <x:f>J129*K129</x:f>
        <x:v>0.0022500000000000003</x:v>
      </x:c>
      <x:c r="M129" s="18" t="str">
        <x:f>IF(K129&gt;INDEX($I$6:$K$11,MATCH(A129,$H$6:$H$11,0),MATCH(B129&amp;"連線",$I$5:$K$5,0)),"取 Wild 連線較高賠率","取一般圖案連線賠率")</x:f>
        <x:v>取一般圖案連線賠率</x:v>
      </x:c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18" t="str">
        <x:v>Q</x:v>
      </x:c>
      <x:c r="B130" s="18" t="n">
        <x:v>5</x:v>
      </x:c>
      <x:c r="C130" s="18" t="n">
        <x:f>IF(D130&lt;&gt;"W",0,IF(E130&lt;&gt;"W",1,IF(F130&lt;&gt;"W",2,IF(G130&lt;&gt;"W",3,IF(H130&lt;&gt;"W",4,5)))))</x:f>
        <x:v>0</x:v>
      </x:c>
      <x:c r="D130" s="18" t="str">
        <x:v>Q</x:v>
      </x:c>
      <x:c r="E130" s="18" t="str">
        <x:v>Q</x:v>
      </x:c>
      <x:c r="F130" s="18" t="str">
        <x:v>W</x:v>
      </x:c>
      <x:c r="G130" s="18" t="str">
        <x:v>Q</x:v>
      </x:c>
      <x:c r="H130" s="18" t="str">
        <x:v>W</x:v>
      </x:c>
      <x:c r="I130" s="21" t="n">
        <x:f>PRODUCT(VLOOKUP(D130,$A$29:$F$42,2,FALSE),VLOOKUP(E130,$A$29:$F$42,3,FALSE),VLOOKUP(F130,$A$29:$F$42,4,FALSE),VLOOKUP(G130,$A$29:$F$42,5,FALSE),VLOOKUP(H130,$A$29:$F$42,6,FALSE))</x:f>
        <x:v>72</x:v>
      </x:c>
      <x:c r="J130" s="22" t="n">
        <x:f>I130/$N$5</x:f>
        <x:v>0.0000225</x:v>
      </x:c>
      <x:c r="K130" s="18" t="n">
        <x:f>MAX(INDEX($I$6:$K$11,MATCH(A130,$H$6:$H$11,0),MATCH(B130&amp;"連線",$I$5:$K$5,0)),IF(C130&gt;=3,INDEX($I$6:$K$11,MATCH("W",$H$6:$H$11,0),MATCH(C130&amp;"連線",$I$5:$K$5,0)),0))</x:f>
        <x:v>100</x:v>
      </x:c>
      <x:c r="L130" s="22" t="n">
        <x:f>J130*K130</x:f>
        <x:v>0.0022500000000000003</x:v>
      </x:c>
      <x:c r="M130" s="18" t="str">
        <x:f>IF(K130&gt;INDEX($I$6:$K$11,MATCH(A130,$H$6:$H$11,0),MATCH(B130&amp;"連線",$I$5:$K$5,0)),"取 Wild 連線較高賠率","取一般圖案連線賠率")</x:f>
        <x:v>取一般圖案連線賠率</x:v>
      </x:c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18" t="str">
        <x:v>Q</x:v>
      </x:c>
      <x:c r="B131" s="18" t="n">
        <x:v>5</x:v>
      </x:c>
      <x:c r="C131" s="18" t="n">
        <x:f>IF(D131&lt;&gt;"W",0,IF(E131&lt;&gt;"W",1,IF(F131&lt;&gt;"W",2,IF(G131&lt;&gt;"W",3,IF(H131&lt;&gt;"W",4,5)))))</x:f>
        <x:v>0</x:v>
      </x:c>
      <x:c r="D131" s="18" t="str">
        <x:v>Q</x:v>
      </x:c>
      <x:c r="E131" s="18" t="str">
        <x:v>Q</x:v>
      </x:c>
      <x:c r="F131" s="18" t="str">
        <x:v>Q</x:v>
      </x:c>
      <x:c r="G131" s="18" t="str">
        <x:v>W</x:v>
      </x:c>
      <x:c r="H131" s="18" t="str">
        <x:v>W</x:v>
      </x:c>
      <x:c r="I131" s="21" t="n">
        <x:f>PRODUCT(VLOOKUP(D131,$A$29:$F$42,2,FALSE),VLOOKUP(E131,$A$29:$F$42,3,FALSE),VLOOKUP(F131,$A$29:$F$42,4,FALSE),VLOOKUP(G131,$A$29:$F$42,5,FALSE),VLOOKUP(H131,$A$29:$F$42,6,FALSE))</x:f>
        <x:v>72</x:v>
      </x:c>
      <x:c r="J131" s="22" t="n">
        <x:f>I131/$N$5</x:f>
        <x:v>0.0000225</x:v>
      </x:c>
      <x:c r="K131" s="18" t="n">
        <x:f>MAX(INDEX($I$6:$K$11,MATCH(A131,$H$6:$H$11,0),MATCH(B131&amp;"連線",$I$5:$K$5,0)),IF(C131&gt;=3,INDEX($I$6:$K$11,MATCH("W",$H$6:$H$11,0),MATCH(C131&amp;"連線",$I$5:$K$5,0)),0))</x:f>
        <x:v>100</x:v>
      </x:c>
      <x:c r="L131" s="22" t="n">
        <x:f>J131*K131</x:f>
        <x:v>0.0022500000000000003</x:v>
      </x:c>
      <x:c r="M131" s="18" t="str">
        <x:f>IF(K131&gt;INDEX($I$6:$K$11,MATCH(A131,$H$6:$H$11,0),MATCH(B131&amp;"連線",$I$5:$K$5,0)),"取 Wild 連線較高賠率","取一般圖案連線賠率")</x:f>
        <x:v>取一般圖案連線賠率</x:v>
      </x:c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18" t="str">
        <x:v>Q</x:v>
      </x:c>
      <x:c r="B132" s="18" t="n">
        <x:v>5</x:v>
      </x:c>
      <x:c r="C132" s="18" t="n">
        <x:f>IF(D132&lt;&gt;"W",0,IF(E132&lt;&gt;"W",1,IF(F132&lt;&gt;"W",2,IF(G132&lt;&gt;"W",3,IF(H132&lt;&gt;"W",4,5)))))</x:f>
        <x:v>3</x:v>
      </x:c>
      <x:c r="D132" s="18" t="str">
        <x:v>W</x:v>
      </x:c>
      <x:c r="E132" s="18" t="str">
        <x:v>W</x:v>
      </x:c>
      <x:c r="F132" s="18" t="str">
        <x:v>W</x:v>
      </x:c>
      <x:c r="G132" s="18" t="str">
        <x:v>Q</x:v>
      </x:c>
      <x:c r="H132" s="18" t="str">
        <x:v>Q</x:v>
      </x:c>
      <x:c r="I132" s="21" t="n">
        <x:f>PRODUCT(VLOOKUP(D132,$A$29:$F$42,2,FALSE),VLOOKUP(E132,$A$29:$F$42,3,FALSE),VLOOKUP(F132,$A$29:$F$42,4,FALSE),VLOOKUP(G132,$A$29:$F$42,5,FALSE),VLOOKUP(H132,$A$29:$F$42,6,FALSE))</x:f>
        <x:v>72</x:v>
      </x:c>
      <x:c r="J132" s="22" t="n">
        <x:f>I132/$N$5</x:f>
        <x:v>0.0000225</x:v>
      </x:c>
      <x:c r="K132" s="18" t="n">
        <x:f>MAX(INDEX($I$6:$K$11,MATCH(A132,$H$6:$H$11,0),MATCH(B132&amp;"連線",$I$5:$K$5,0)),IF(C132&gt;=3,INDEX($I$6:$K$11,MATCH("W",$H$6:$H$11,0),MATCH(C132&amp;"連線",$I$5:$K$5,0)),0))</x:f>
        <x:v>150</x:v>
      </x:c>
      <x:c r="L132" s="22" t="n">
        <x:f>J132*K132</x:f>
        <x:v>0.0033750000000000004</x:v>
      </x:c>
      <x:c r="M132" s="18" t="str">
        <x:f>IF(K132&gt;INDEX($I$6:$K$11,MATCH(A132,$H$6:$H$11,0),MATCH(B132&amp;"連線",$I$5:$K$5,0)),"取 Wild 連線較高賠率","取一般圖案連線賠率")</x:f>
        <x:v>取 Wild 連線較高賠率</x:v>
      </x:c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18" t="str">
        <x:v>Q</x:v>
      </x:c>
      <x:c r="B133" s="18" t="n">
        <x:v>5</x:v>
      </x:c>
      <x:c r="C133" s="18" t="n">
        <x:f>IF(D133&lt;&gt;"W",0,IF(E133&lt;&gt;"W",1,IF(F133&lt;&gt;"W",2,IF(G133&lt;&gt;"W",3,IF(H133&lt;&gt;"W",4,5)))))</x:f>
        <x:v>2</x:v>
      </x:c>
      <x:c r="D133" s="18" t="str">
        <x:v>W</x:v>
      </x:c>
      <x:c r="E133" s="18" t="str">
        <x:v>W</x:v>
      </x:c>
      <x:c r="F133" s="18" t="str">
        <x:v>Q</x:v>
      </x:c>
      <x:c r="G133" s="18" t="str">
        <x:v>W</x:v>
      </x:c>
      <x:c r="H133" s="18" t="str">
        <x:v>Q</x:v>
      </x:c>
      <x:c r="I133" s="21" t="n">
        <x:f>PRODUCT(VLOOKUP(D133,$A$29:$F$42,2,FALSE),VLOOKUP(E133,$A$29:$F$42,3,FALSE),VLOOKUP(F133,$A$29:$F$42,4,FALSE),VLOOKUP(G133,$A$29:$F$42,5,FALSE),VLOOKUP(H133,$A$29:$F$42,6,FALSE))</x:f>
        <x:v>72</x:v>
      </x:c>
      <x:c r="J133" s="22" t="n">
        <x:f>I133/$N$5</x:f>
        <x:v>0.0000225</x:v>
      </x:c>
      <x:c r="K133" s="18" t="n">
        <x:f>MAX(INDEX($I$6:$K$11,MATCH(A133,$H$6:$H$11,0),MATCH(B133&amp;"連線",$I$5:$K$5,0)),IF(C133&gt;=3,INDEX($I$6:$K$11,MATCH("W",$H$6:$H$11,0),MATCH(C133&amp;"連線",$I$5:$K$5,0)),0))</x:f>
        <x:v>100</x:v>
      </x:c>
      <x:c r="L133" s="22" t="n">
        <x:f>J133*K133</x:f>
        <x:v>0.0022500000000000003</x:v>
      </x:c>
      <x:c r="M133" s="18" t="str">
        <x:f>IF(K133&gt;INDEX($I$6:$K$11,MATCH(A133,$H$6:$H$11,0),MATCH(B133&amp;"連線",$I$5:$K$5,0)),"取 Wild 連線較高賠率","取一般圖案連線賠率")</x:f>
        <x:v>取一般圖案連線賠率</x:v>
      </x:c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18" t="str">
        <x:v>Q</x:v>
      </x:c>
      <x:c r="B134" s="18" t="n">
        <x:v>5</x:v>
      </x:c>
      <x:c r="C134" s="18" t="n">
        <x:f>IF(D134&lt;&gt;"W",0,IF(E134&lt;&gt;"W",1,IF(F134&lt;&gt;"W",2,IF(G134&lt;&gt;"W",3,IF(H134&lt;&gt;"W",4,5)))))</x:f>
        <x:v>2</x:v>
      </x:c>
      <x:c r="D134" s="18" t="str">
        <x:v>W</x:v>
      </x:c>
      <x:c r="E134" s="18" t="str">
        <x:v>W</x:v>
      </x:c>
      <x:c r="F134" s="18" t="str">
        <x:v>Q</x:v>
      </x:c>
      <x:c r="G134" s="18" t="str">
        <x:v>Q</x:v>
      </x:c>
      <x:c r="H134" s="18" t="str">
        <x:v>W</x:v>
      </x:c>
      <x:c r="I134" s="21" t="n">
        <x:f>PRODUCT(VLOOKUP(D134,$A$29:$F$42,2,FALSE),VLOOKUP(E134,$A$29:$F$42,3,FALSE),VLOOKUP(F134,$A$29:$F$42,4,FALSE),VLOOKUP(G134,$A$29:$F$42,5,FALSE),VLOOKUP(H134,$A$29:$F$42,6,FALSE))</x:f>
        <x:v>72</x:v>
      </x:c>
      <x:c r="J134" s="22" t="n">
        <x:f>I134/$N$5</x:f>
        <x:v>0.0000225</x:v>
      </x:c>
      <x:c r="K134" s="18" t="n">
        <x:f>MAX(INDEX($I$6:$K$11,MATCH(A134,$H$6:$H$11,0),MATCH(B134&amp;"連線",$I$5:$K$5,0)),IF(C134&gt;=3,INDEX($I$6:$K$11,MATCH("W",$H$6:$H$11,0),MATCH(C134&amp;"連線",$I$5:$K$5,0)),0))</x:f>
        <x:v>100</x:v>
      </x:c>
      <x:c r="L134" s="22" t="n">
        <x:f>J134*K134</x:f>
        <x:v>0.0022500000000000003</x:v>
      </x:c>
      <x:c r="M134" s="18" t="str">
        <x:f>IF(K134&gt;INDEX($I$6:$K$11,MATCH(A134,$H$6:$H$11,0),MATCH(B134&amp;"連線",$I$5:$K$5,0)),"取 Wild 連線較高賠率","取一般圖案連線賠率")</x:f>
        <x:v>取一般圖案連線賠率</x:v>
      </x:c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18" t="str">
        <x:v>Q</x:v>
      </x:c>
      <x:c r="B135" s="18" t="n">
        <x:v>5</x:v>
      </x:c>
      <x:c r="C135" s="18" t="n">
        <x:f>IF(D135&lt;&gt;"W",0,IF(E135&lt;&gt;"W",1,IF(F135&lt;&gt;"W",2,IF(G135&lt;&gt;"W",3,IF(H135&lt;&gt;"W",4,5)))))</x:f>
        <x:v>1</x:v>
      </x:c>
      <x:c r="D135" s="18" t="str">
        <x:v>W</x:v>
      </x:c>
      <x:c r="E135" s="18" t="str">
        <x:v>Q</x:v>
      </x:c>
      <x:c r="F135" s="18" t="str">
        <x:v>W</x:v>
      </x:c>
      <x:c r="G135" s="18" t="str">
        <x:v>W</x:v>
      </x:c>
      <x:c r="H135" s="18" t="str">
        <x:v>Q</x:v>
      </x:c>
      <x:c r="I135" s="21" t="n">
        <x:f>PRODUCT(VLOOKUP(D135,$A$29:$F$42,2,FALSE),VLOOKUP(E135,$A$29:$F$42,3,FALSE),VLOOKUP(F135,$A$29:$F$42,4,FALSE),VLOOKUP(G135,$A$29:$F$42,5,FALSE),VLOOKUP(H135,$A$29:$F$42,6,FALSE))</x:f>
        <x:v>72</x:v>
      </x:c>
      <x:c r="J135" s="22" t="n">
        <x:f>I135/$N$5</x:f>
        <x:v>0.0000225</x:v>
      </x:c>
      <x:c r="K135" s="18" t="n">
        <x:f>MAX(INDEX($I$6:$K$11,MATCH(A135,$H$6:$H$11,0),MATCH(B135&amp;"連線",$I$5:$K$5,0)),IF(C135&gt;=3,INDEX($I$6:$K$11,MATCH("W",$H$6:$H$11,0),MATCH(C135&amp;"連線",$I$5:$K$5,0)),0))</x:f>
        <x:v>100</x:v>
      </x:c>
      <x:c r="L135" s="22" t="n">
        <x:f>J135*K135</x:f>
        <x:v>0.0022500000000000003</x:v>
      </x:c>
      <x:c r="M135" s="18" t="str">
        <x:f>IF(K135&gt;INDEX($I$6:$K$11,MATCH(A135,$H$6:$H$11,0),MATCH(B135&amp;"連線",$I$5:$K$5,0)),"取 Wild 連線較高賠率","取一般圖案連線賠率")</x:f>
        <x:v>取一般圖案連線賠率</x:v>
      </x:c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18" t="str">
        <x:v>Q</x:v>
      </x:c>
      <x:c r="B136" s="18" t="n">
        <x:v>5</x:v>
      </x:c>
      <x:c r="C136" s="18" t="n">
        <x:f>IF(D136&lt;&gt;"W",0,IF(E136&lt;&gt;"W",1,IF(F136&lt;&gt;"W",2,IF(G136&lt;&gt;"W",3,IF(H136&lt;&gt;"W",4,5)))))</x:f>
        <x:v>1</x:v>
      </x:c>
      <x:c r="D136" s="18" t="str">
        <x:v>W</x:v>
      </x:c>
      <x:c r="E136" s="18" t="str">
        <x:v>Q</x:v>
      </x:c>
      <x:c r="F136" s="18" t="str">
        <x:v>W</x:v>
      </x:c>
      <x:c r="G136" s="18" t="str">
        <x:v>Q</x:v>
      </x:c>
      <x:c r="H136" s="18" t="str">
        <x:v>W</x:v>
      </x:c>
      <x:c r="I136" s="21" t="n">
        <x:f>PRODUCT(VLOOKUP(D136,$A$29:$F$42,2,FALSE),VLOOKUP(E136,$A$29:$F$42,3,FALSE),VLOOKUP(F136,$A$29:$F$42,4,FALSE),VLOOKUP(G136,$A$29:$F$42,5,FALSE),VLOOKUP(H136,$A$29:$F$42,6,FALSE))</x:f>
        <x:v>72</x:v>
      </x:c>
      <x:c r="J136" s="22" t="n">
        <x:f>I136/$N$5</x:f>
        <x:v>0.0000225</x:v>
      </x:c>
      <x:c r="K136" s="18" t="n">
        <x:f>MAX(INDEX($I$6:$K$11,MATCH(A136,$H$6:$H$11,0),MATCH(B136&amp;"連線",$I$5:$K$5,0)),IF(C136&gt;=3,INDEX($I$6:$K$11,MATCH("W",$H$6:$H$11,0),MATCH(C136&amp;"連線",$I$5:$K$5,0)),0))</x:f>
        <x:v>100</x:v>
      </x:c>
      <x:c r="L136" s="22" t="n">
        <x:f>J136*K136</x:f>
        <x:v>0.0022500000000000003</x:v>
      </x:c>
      <x:c r="M136" s="18" t="str">
        <x:f>IF(K136&gt;INDEX($I$6:$K$11,MATCH(A136,$H$6:$H$11,0),MATCH(B136&amp;"連線",$I$5:$K$5,0)),"取 Wild 連線較高賠率","取一般圖案連線賠率")</x:f>
        <x:v>取一般圖案連線賠率</x:v>
      </x:c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18" t="str">
        <x:v>Q</x:v>
      </x:c>
      <x:c r="B137" s="18" t="n">
        <x:v>5</x:v>
      </x:c>
      <x:c r="C137" s="18" t="n">
        <x:f>IF(D137&lt;&gt;"W",0,IF(E137&lt;&gt;"W",1,IF(F137&lt;&gt;"W",2,IF(G137&lt;&gt;"W",3,IF(H137&lt;&gt;"W",4,5)))))</x:f>
        <x:v>1</x:v>
      </x:c>
      <x:c r="D137" s="18" t="str">
        <x:v>W</x:v>
      </x:c>
      <x:c r="E137" s="18" t="str">
        <x:v>Q</x:v>
      </x:c>
      <x:c r="F137" s="18" t="str">
        <x:v>Q</x:v>
      </x:c>
      <x:c r="G137" s="18" t="str">
        <x:v>W</x:v>
      </x:c>
      <x:c r="H137" s="18" t="str">
        <x:v>W</x:v>
      </x:c>
      <x:c r="I137" s="21" t="n">
        <x:f>PRODUCT(VLOOKUP(D137,$A$29:$F$42,2,FALSE),VLOOKUP(E137,$A$29:$F$42,3,FALSE),VLOOKUP(F137,$A$29:$F$42,4,FALSE),VLOOKUP(G137,$A$29:$F$42,5,FALSE),VLOOKUP(H137,$A$29:$F$42,6,FALSE))</x:f>
        <x:v>72</x:v>
      </x:c>
      <x:c r="J137" s="22" t="n">
        <x:f>I137/$N$5</x:f>
        <x:v>0.0000225</x:v>
      </x:c>
      <x:c r="K137" s="18" t="n">
        <x:f>MAX(INDEX($I$6:$K$11,MATCH(A137,$H$6:$H$11,0),MATCH(B137&amp;"連線",$I$5:$K$5,0)),IF(C137&gt;=3,INDEX($I$6:$K$11,MATCH("W",$H$6:$H$11,0),MATCH(C137&amp;"連線",$I$5:$K$5,0)),0))</x:f>
        <x:v>100</x:v>
      </x:c>
      <x:c r="L137" s="22" t="n">
        <x:f>J137*K137</x:f>
        <x:v>0.0022500000000000003</x:v>
      </x:c>
      <x:c r="M137" s="18" t="str">
        <x:f>IF(K137&gt;INDEX($I$6:$K$11,MATCH(A137,$H$6:$H$11,0),MATCH(B137&amp;"連線",$I$5:$K$5,0)),"取 Wild 連線較高賠率","取一般圖案連線賠率")</x:f>
        <x:v>取一般圖案連線賠率</x:v>
      </x:c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18" t="str">
        <x:v>Q</x:v>
      </x:c>
      <x:c r="B138" s="18" t="n">
        <x:v>5</x:v>
      </x:c>
      <x:c r="C138" s="18" t="n">
        <x:f>IF(D138&lt;&gt;"W",0,IF(E138&lt;&gt;"W",1,IF(F138&lt;&gt;"W",2,IF(G138&lt;&gt;"W",3,IF(H138&lt;&gt;"W",4,5)))))</x:f>
        <x:v>0</x:v>
      </x:c>
      <x:c r="D138" s="18" t="str">
        <x:v>Q</x:v>
      </x:c>
      <x:c r="E138" s="18" t="str">
        <x:v>W</x:v>
      </x:c>
      <x:c r="F138" s="18" t="str">
        <x:v>W</x:v>
      </x:c>
      <x:c r="G138" s="18" t="str">
        <x:v>W</x:v>
      </x:c>
      <x:c r="H138" s="18" t="str">
        <x:v>Q</x:v>
      </x:c>
      <x:c r="I138" s="21" t="n">
        <x:f>PRODUCT(VLOOKUP(D138,$A$29:$F$42,2,FALSE),VLOOKUP(E138,$A$29:$F$42,3,FALSE),VLOOKUP(F138,$A$29:$F$42,4,FALSE),VLOOKUP(G138,$A$29:$F$42,5,FALSE),VLOOKUP(H138,$A$29:$F$42,6,FALSE))</x:f>
        <x:v>48</x:v>
      </x:c>
      <x:c r="J138" s="22" t="n">
        <x:f>I138/$N$5</x:f>
        <x:v>0.000015</x:v>
      </x:c>
      <x:c r="K138" s="18" t="n">
        <x:f>MAX(INDEX($I$6:$K$11,MATCH(A138,$H$6:$H$11,0),MATCH(B138&amp;"連線",$I$5:$K$5,0)),IF(C138&gt;=3,INDEX($I$6:$K$11,MATCH("W",$H$6:$H$11,0),MATCH(C138&amp;"連線",$I$5:$K$5,0)),0))</x:f>
        <x:v>100</x:v>
      </x:c>
      <x:c r="L138" s="22" t="n">
        <x:f>J138*K138</x:f>
        <x:v>0.0015</x:v>
      </x:c>
      <x:c r="M138" s="18" t="str">
        <x:f>IF(K138&gt;INDEX($I$6:$K$11,MATCH(A138,$H$6:$H$11,0),MATCH(B138&amp;"連線",$I$5:$K$5,0)),"取 Wild 連線較高賠率","取一般圖案連線賠率")</x:f>
        <x:v>取一般圖案連線賠率</x:v>
      </x:c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18" t="str">
        <x:v>Q</x:v>
      </x:c>
      <x:c r="B139" s="18" t="n">
        <x:v>5</x:v>
      </x:c>
      <x:c r="C139" s="18" t="n">
        <x:f>IF(D139&lt;&gt;"W",0,IF(E139&lt;&gt;"W",1,IF(F139&lt;&gt;"W",2,IF(G139&lt;&gt;"W",3,IF(H139&lt;&gt;"W",4,5)))))</x:f>
        <x:v>0</x:v>
      </x:c>
      <x:c r="D139" s="18" t="str">
        <x:v>Q</x:v>
      </x:c>
      <x:c r="E139" s="18" t="str">
        <x:v>W</x:v>
      </x:c>
      <x:c r="F139" s="18" t="str">
        <x:v>W</x:v>
      </x:c>
      <x:c r="G139" s="18" t="str">
        <x:v>Q</x:v>
      </x:c>
      <x:c r="H139" s="18" t="str">
        <x:v>W</x:v>
      </x:c>
      <x:c r="I139" s="21" t="n">
        <x:f>PRODUCT(VLOOKUP(D139,$A$29:$F$42,2,FALSE),VLOOKUP(E139,$A$29:$F$42,3,FALSE),VLOOKUP(F139,$A$29:$F$42,4,FALSE),VLOOKUP(G139,$A$29:$F$42,5,FALSE),VLOOKUP(H139,$A$29:$F$42,6,FALSE))</x:f>
        <x:v>48</x:v>
      </x:c>
      <x:c r="J139" s="22" t="n">
        <x:f>I139/$N$5</x:f>
        <x:v>0.000015</x:v>
      </x:c>
      <x:c r="K139" s="18" t="n">
        <x:f>MAX(INDEX($I$6:$K$11,MATCH(A139,$H$6:$H$11,0),MATCH(B139&amp;"連線",$I$5:$K$5,0)),IF(C139&gt;=3,INDEX($I$6:$K$11,MATCH("W",$H$6:$H$11,0),MATCH(C139&amp;"連線",$I$5:$K$5,0)),0))</x:f>
        <x:v>100</x:v>
      </x:c>
      <x:c r="L139" s="22" t="n">
        <x:f>J139*K139</x:f>
        <x:v>0.0015</x:v>
      </x:c>
      <x:c r="M139" s="18" t="str">
        <x:f>IF(K139&gt;INDEX($I$6:$K$11,MATCH(A139,$H$6:$H$11,0),MATCH(B139&amp;"連線",$I$5:$K$5,0)),"取 Wild 連線較高賠率","取一般圖案連線賠率")</x:f>
        <x:v>取一般圖案連線賠率</x:v>
      </x:c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18" t="str">
        <x:v>Q</x:v>
      </x:c>
      <x:c r="B140" s="18" t="n">
        <x:v>5</x:v>
      </x:c>
      <x:c r="C140" s="18" t="n">
        <x:f>IF(D140&lt;&gt;"W",0,IF(E140&lt;&gt;"W",1,IF(F140&lt;&gt;"W",2,IF(G140&lt;&gt;"W",3,IF(H140&lt;&gt;"W",4,5)))))</x:f>
        <x:v>0</x:v>
      </x:c>
      <x:c r="D140" s="18" t="str">
        <x:v>Q</x:v>
      </x:c>
      <x:c r="E140" s="18" t="str">
        <x:v>W</x:v>
      </x:c>
      <x:c r="F140" s="18" t="str">
        <x:v>Q</x:v>
      </x:c>
      <x:c r="G140" s="18" t="str">
        <x:v>W</x:v>
      </x:c>
      <x:c r="H140" s="18" t="str">
        <x:v>W</x:v>
      </x:c>
      <x:c r="I140" s="21" t="n">
        <x:f>PRODUCT(VLOOKUP(D140,$A$29:$F$42,2,FALSE),VLOOKUP(E140,$A$29:$F$42,3,FALSE),VLOOKUP(F140,$A$29:$F$42,4,FALSE),VLOOKUP(G140,$A$29:$F$42,5,FALSE),VLOOKUP(H140,$A$29:$F$42,6,FALSE))</x:f>
        <x:v>48</x:v>
      </x:c>
      <x:c r="J140" s="22" t="n">
        <x:f>I140/$N$5</x:f>
        <x:v>0.000015</x:v>
      </x:c>
      <x:c r="K140" s="18" t="n">
        <x:f>MAX(INDEX($I$6:$K$11,MATCH(A140,$H$6:$H$11,0),MATCH(B140&amp;"連線",$I$5:$K$5,0)),IF(C140&gt;=3,INDEX($I$6:$K$11,MATCH("W",$H$6:$H$11,0),MATCH(C140&amp;"連線",$I$5:$K$5,0)),0))</x:f>
        <x:v>100</x:v>
      </x:c>
      <x:c r="L140" s="22" t="n">
        <x:f>J140*K140</x:f>
        <x:v>0.0015</x:v>
      </x:c>
      <x:c r="M140" s="18" t="str">
        <x:f>IF(K140&gt;INDEX($I$6:$K$11,MATCH(A140,$H$6:$H$11,0),MATCH(B140&amp;"連線",$I$5:$K$5,0)),"取 Wild 連線較高賠率","取一般圖案連線賠率")</x:f>
        <x:v>取一般圖案連線賠率</x:v>
      </x:c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18" t="str">
        <x:v>Q</x:v>
      </x:c>
      <x:c r="B141" s="18" t="n">
        <x:v>5</x:v>
      </x:c>
      <x:c r="C141" s="18" t="n">
        <x:f>IF(D141&lt;&gt;"W",0,IF(E141&lt;&gt;"W",1,IF(F141&lt;&gt;"W",2,IF(G141&lt;&gt;"W",3,IF(H141&lt;&gt;"W",4,5)))))</x:f>
        <x:v>0</x:v>
      </x:c>
      <x:c r="D141" s="18" t="str">
        <x:v>Q</x:v>
      </x:c>
      <x:c r="E141" s="18" t="str">
        <x:v>Q</x:v>
      </x:c>
      <x:c r="F141" s="18" t="str">
        <x:v>W</x:v>
      </x:c>
      <x:c r="G141" s="18" t="str">
        <x:v>W</x:v>
      </x:c>
      <x:c r="H141" s="18" t="str">
        <x:v>W</x:v>
      </x:c>
      <x:c r="I141" s="21" t="n">
        <x:f>PRODUCT(VLOOKUP(D141,$A$29:$F$42,2,FALSE),VLOOKUP(E141,$A$29:$F$42,3,FALSE),VLOOKUP(F141,$A$29:$F$42,4,FALSE),VLOOKUP(G141,$A$29:$F$42,5,FALSE),VLOOKUP(H141,$A$29:$F$42,6,FALSE))</x:f>
        <x:v>48</x:v>
      </x:c>
      <x:c r="J141" s="22" t="n">
        <x:f>I141/$N$5</x:f>
        <x:v>0.000015</x:v>
      </x:c>
      <x:c r="K141" s="18" t="n">
        <x:f>MAX(INDEX($I$6:$K$11,MATCH(A141,$H$6:$H$11,0),MATCH(B141&amp;"連線",$I$5:$K$5,0)),IF(C141&gt;=3,INDEX($I$6:$K$11,MATCH("W",$H$6:$H$11,0),MATCH(C141&amp;"連線",$I$5:$K$5,0)),0))</x:f>
        <x:v>100</x:v>
      </x:c>
      <x:c r="L141" s="22" t="n">
        <x:f>J141*K141</x:f>
        <x:v>0.0015</x:v>
      </x:c>
      <x:c r="M141" s="18" t="str">
        <x:f>IF(K141&gt;INDEX($I$6:$K$11,MATCH(A141,$H$6:$H$11,0),MATCH(B141&amp;"連線",$I$5:$K$5,0)),"取 Wild 連線較高賠率","取一般圖案連線賠率")</x:f>
        <x:v>取一般圖案連線賠率</x:v>
      </x:c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18" t="str">
        <x:v>Q</x:v>
      </x:c>
      <x:c r="B142" s="18" t="n">
        <x:v>5</x:v>
      </x:c>
      <x:c r="C142" s="18" t="n">
        <x:f>IF(D142&lt;&gt;"W",0,IF(E142&lt;&gt;"W",1,IF(F142&lt;&gt;"W",2,IF(G142&lt;&gt;"W",3,IF(H142&lt;&gt;"W",4,5)))))</x:f>
        <x:v>4</x:v>
      </x:c>
      <x:c r="D142" s="18" t="str">
        <x:v>W</x:v>
      </x:c>
      <x:c r="E142" s="18" t="str">
        <x:v>W</x:v>
      </x:c>
      <x:c r="F142" s="18" t="str">
        <x:v>W</x:v>
      </x:c>
      <x:c r="G142" s="18" t="str">
        <x:v>W</x:v>
      </x:c>
      <x:c r="H142" s="18" t="str">
        <x:v>Q</x:v>
      </x:c>
      <x:c r="I142" s="21" t="n">
        <x:f>PRODUCT(VLOOKUP(D142,$A$29:$F$42,2,FALSE),VLOOKUP(E142,$A$29:$F$42,3,FALSE),VLOOKUP(F142,$A$29:$F$42,4,FALSE),VLOOKUP(G142,$A$29:$F$42,5,FALSE),VLOOKUP(H142,$A$29:$F$42,6,FALSE))</x:f>
        <x:v>48</x:v>
      </x:c>
      <x:c r="J142" s="22" t="n">
        <x:f>I142/$N$5</x:f>
        <x:v>0.000015</x:v>
      </x:c>
      <x:c r="K142" s="18" t="n">
        <x:f>MAX(INDEX($I$6:$K$11,MATCH(A142,$H$6:$H$11,0),MATCH(B142&amp;"連線",$I$5:$K$5,0)),IF(C142&gt;=3,INDEX($I$6:$K$11,MATCH("W",$H$6:$H$11,0),MATCH(C142&amp;"連線",$I$5:$K$5,0)),0))</x:f>
        <x:v>300</x:v>
      </x:c>
      <x:c r="L142" s="22" t="n">
        <x:f>J142*K142</x:f>
        <x:v>0.0045000000000000005</x:v>
      </x:c>
      <x:c r="M142" s="18" t="str">
        <x:f>IF(K142&gt;INDEX($I$6:$K$11,MATCH(A142,$H$6:$H$11,0),MATCH(B142&amp;"連線",$I$5:$K$5,0)),"取 Wild 連線較高賠率","取一般圖案連線賠率")</x:f>
        <x:v>取 Wild 連線較高賠率</x:v>
      </x:c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18" t="str">
        <x:v>Q</x:v>
      </x:c>
      <x:c r="B143" s="18" t="n">
        <x:v>5</x:v>
      </x:c>
      <x:c r="C143" s="18" t="n">
        <x:f>IF(D143&lt;&gt;"W",0,IF(E143&lt;&gt;"W",1,IF(F143&lt;&gt;"W",2,IF(G143&lt;&gt;"W",3,IF(H143&lt;&gt;"W",4,5)))))</x:f>
        <x:v>3</x:v>
      </x:c>
      <x:c r="D143" s="18" t="str">
        <x:v>W</x:v>
      </x:c>
      <x:c r="E143" s="18" t="str">
        <x:v>W</x:v>
      </x:c>
      <x:c r="F143" s="18" t="str">
        <x:v>W</x:v>
      </x:c>
      <x:c r="G143" s="18" t="str">
        <x:v>Q</x:v>
      </x:c>
      <x:c r="H143" s="18" t="str">
        <x:v>W</x:v>
      </x:c>
      <x:c r="I143" s="21" t="n">
        <x:f>PRODUCT(VLOOKUP(D143,$A$29:$F$42,2,FALSE),VLOOKUP(E143,$A$29:$F$42,3,FALSE),VLOOKUP(F143,$A$29:$F$42,4,FALSE),VLOOKUP(G143,$A$29:$F$42,5,FALSE),VLOOKUP(H143,$A$29:$F$42,6,FALSE))</x:f>
        <x:v>48</x:v>
      </x:c>
      <x:c r="J143" s="22" t="n">
        <x:f>I143/$N$5</x:f>
        <x:v>0.000015</x:v>
      </x:c>
      <x:c r="K143" s="18" t="n">
        <x:f>MAX(INDEX($I$6:$K$11,MATCH(A143,$H$6:$H$11,0),MATCH(B143&amp;"連線",$I$5:$K$5,0)),IF(C143&gt;=3,INDEX($I$6:$K$11,MATCH("W",$H$6:$H$11,0),MATCH(C143&amp;"連線",$I$5:$K$5,0)),0))</x:f>
        <x:v>150</x:v>
      </x:c>
      <x:c r="L143" s="22" t="n">
        <x:f>J143*K143</x:f>
        <x:v>0.0022500000000000003</x:v>
      </x:c>
      <x:c r="M143" s="18" t="str">
        <x:f>IF(K143&gt;INDEX($I$6:$K$11,MATCH(A143,$H$6:$H$11,0),MATCH(B143&amp;"連線",$I$5:$K$5,0)),"取 Wild 連線較高賠率","取一般圖案連線賠率")</x:f>
        <x:v>取 Wild 連線較高賠率</x:v>
      </x:c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18" t="str">
        <x:v>Q</x:v>
      </x:c>
      <x:c r="B144" s="18" t="n">
        <x:v>5</x:v>
      </x:c>
      <x:c r="C144" s="18" t="n">
        <x:f>IF(D144&lt;&gt;"W",0,IF(E144&lt;&gt;"W",1,IF(F144&lt;&gt;"W",2,IF(G144&lt;&gt;"W",3,IF(H144&lt;&gt;"W",4,5)))))</x:f>
        <x:v>2</x:v>
      </x:c>
      <x:c r="D144" s="18" t="str">
        <x:v>W</x:v>
      </x:c>
      <x:c r="E144" s="18" t="str">
        <x:v>W</x:v>
      </x:c>
      <x:c r="F144" s="18" t="str">
        <x:v>Q</x:v>
      </x:c>
      <x:c r="G144" s="18" t="str">
        <x:v>W</x:v>
      </x:c>
      <x:c r="H144" s="18" t="str">
        <x:v>W</x:v>
      </x:c>
      <x:c r="I144" s="21" t="n">
        <x:f>PRODUCT(VLOOKUP(D144,$A$29:$F$42,2,FALSE),VLOOKUP(E144,$A$29:$F$42,3,FALSE),VLOOKUP(F144,$A$29:$F$42,4,FALSE),VLOOKUP(G144,$A$29:$F$42,5,FALSE),VLOOKUP(H144,$A$29:$F$42,6,FALSE))</x:f>
        <x:v>48</x:v>
      </x:c>
      <x:c r="J144" s="22" t="n">
        <x:f>I144/$N$5</x:f>
        <x:v>0.000015</x:v>
      </x:c>
      <x:c r="K144" s="18" t="n">
        <x:f>MAX(INDEX($I$6:$K$11,MATCH(A144,$H$6:$H$11,0),MATCH(B144&amp;"連線",$I$5:$K$5,0)),IF(C144&gt;=3,INDEX($I$6:$K$11,MATCH("W",$H$6:$H$11,0),MATCH(C144&amp;"連線",$I$5:$K$5,0)),0))</x:f>
        <x:v>100</x:v>
      </x:c>
      <x:c r="L144" s="22" t="n">
        <x:f>J144*K144</x:f>
        <x:v>0.0015</x:v>
      </x:c>
      <x:c r="M144" s="18" t="str">
        <x:f>IF(K144&gt;INDEX($I$6:$K$11,MATCH(A144,$H$6:$H$11,0),MATCH(B144&amp;"連線",$I$5:$K$5,0)),"取 Wild 連線較高賠率","取一般圖案連線賠率")</x:f>
        <x:v>取一般圖案連線賠率</x:v>
      </x:c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18" t="str">
        <x:v>Q</x:v>
      </x:c>
      <x:c r="B145" s="18" t="n">
        <x:v>5</x:v>
      </x:c>
      <x:c r="C145" s="18" t="n">
        <x:f>IF(D145&lt;&gt;"W",0,IF(E145&lt;&gt;"W",1,IF(F145&lt;&gt;"W",2,IF(G145&lt;&gt;"W",3,IF(H145&lt;&gt;"W",4,5)))))</x:f>
        <x:v>1</x:v>
      </x:c>
      <x:c r="D145" s="18" t="str">
        <x:v>W</x:v>
      </x:c>
      <x:c r="E145" s="18" t="str">
        <x:v>Q</x:v>
      </x:c>
      <x:c r="F145" s="18" t="str">
        <x:v>W</x:v>
      </x:c>
      <x:c r="G145" s="18" t="str">
        <x:v>W</x:v>
      </x:c>
      <x:c r="H145" s="18" t="str">
        <x:v>W</x:v>
      </x:c>
      <x:c r="I145" s="21" t="n">
        <x:f>PRODUCT(VLOOKUP(D145,$A$29:$F$42,2,FALSE),VLOOKUP(E145,$A$29:$F$42,3,FALSE),VLOOKUP(F145,$A$29:$F$42,4,FALSE),VLOOKUP(G145,$A$29:$F$42,5,FALSE),VLOOKUP(H145,$A$29:$F$42,6,FALSE))</x:f>
        <x:v>48</x:v>
      </x:c>
      <x:c r="J145" s="22" t="n">
        <x:f>I145/$N$5</x:f>
        <x:v>0.000015</x:v>
      </x:c>
      <x:c r="K145" s="18" t="n">
        <x:f>MAX(INDEX($I$6:$K$11,MATCH(A145,$H$6:$H$11,0),MATCH(B145&amp;"連線",$I$5:$K$5,0)),IF(C145&gt;=3,INDEX($I$6:$K$11,MATCH("W",$H$6:$H$11,0),MATCH(C145&amp;"連線",$I$5:$K$5,0)),0))</x:f>
        <x:v>100</x:v>
      </x:c>
      <x:c r="L145" s="22" t="n">
        <x:f>J145*K145</x:f>
        <x:v>0.0015</x:v>
      </x:c>
      <x:c r="M145" s="18" t="str">
        <x:f>IF(K145&gt;INDEX($I$6:$K$11,MATCH(A145,$H$6:$H$11,0),MATCH(B145&amp;"連線",$I$5:$K$5,0)),"取 Wild 連線較高賠率","取一般圖案連線賠率")</x:f>
        <x:v>取一般圖案連線賠率</x:v>
      </x:c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18" t="str">
        <x:v>Q</x:v>
      </x:c>
      <x:c r="B146" s="18" t="n">
        <x:v>5</x:v>
      </x:c>
      <x:c r="C146" s="18" t="n">
        <x:f>IF(D146&lt;&gt;"W",0,IF(E146&lt;&gt;"W",1,IF(F146&lt;&gt;"W",2,IF(G146&lt;&gt;"W",3,IF(H146&lt;&gt;"W",4,5)))))</x:f>
        <x:v>0</x:v>
      </x:c>
      <x:c r="D146" s="18" t="str">
        <x:v>Q</x:v>
      </x:c>
      <x:c r="E146" s="18" t="str">
        <x:v>W</x:v>
      </x:c>
      <x:c r="F146" s="18" t="str">
        <x:v>W</x:v>
      </x:c>
      <x:c r="G146" s="18" t="str">
        <x:v>W</x:v>
      </x:c>
      <x:c r="H146" s="18" t="str">
        <x:v>W</x:v>
      </x:c>
      <x:c r="I146" s="21" t="n">
        <x:f>PRODUCT(VLOOKUP(D146,$A$29:$F$42,2,FALSE),VLOOKUP(E146,$A$29:$F$42,3,FALSE),VLOOKUP(F146,$A$29:$F$42,4,FALSE),VLOOKUP(G146,$A$29:$F$42,5,FALSE),VLOOKUP(H146,$A$29:$F$42,6,FALSE))</x:f>
        <x:v>32</x:v>
      </x:c>
      <x:c r="J146" s="22" t="n">
        <x:f>I146/$N$5</x:f>
        <x:v>0.00001</x:v>
      </x:c>
      <x:c r="K146" s="18" t="n">
        <x:f>MAX(INDEX($I$6:$K$11,MATCH(A146,$H$6:$H$11,0),MATCH(B146&amp;"連線",$I$5:$K$5,0)),IF(C146&gt;=3,INDEX($I$6:$K$11,MATCH("W",$H$6:$H$11,0),MATCH(C146&amp;"連線",$I$5:$K$5,0)),0))</x:f>
        <x:v>100</x:v>
      </x:c>
      <x:c r="L146" s="22" t="n">
        <x:f>J146*K146</x:f>
        <x:v>0.001</x:v>
      </x:c>
      <x:c r="M146" s="18" t="str">
        <x:f>IF(K146&gt;INDEX($I$6:$K$11,MATCH(A146,$H$6:$H$11,0),MATCH(B146&amp;"連線",$I$5:$K$5,0)),"取 Wild 連線較高賠率","取一般圖案連線賠率")</x:f>
        <x:v>取一般圖案連線賠率</x:v>
      </x:c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18" t="str">
        <x:v>Q</x:v>
      </x:c>
      <x:c r="B147" s="18" t="n">
        <x:v>4</x:v>
      </x:c>
      <x:c r="C147" s="18" t="n">
        <x:f>IF(D147&lt;&gt;"W",0,IF(E147&lt;&gt;"W",1,IF(F147&lt;&gt;"W",2,IF(G147&lt;&gt;"W",3,IF(H147&lt;&gt;"W",4,5)))))</x:f>
        <x:v>1</x:v>
      </x:c>
      <x:c r="D147" s="18" t="str">
        <x:v>W</x:v>
      </x:c>
      <x:c r="E147" s="18" t="str">
        <x:v>Q</x:v>
      </x:c>
      <x:c r="F147" s="18" t="str">
        <x:v>Q</x:v>
      </x:c>
      <x:c r="G147" s="18" t="str">
        <x:v>Q</x:v>
      </x:c>
      <x:c r="H147" s="18" t="str">
        <x:v>X_WQ</x:v>
      </x:c>
      <x:c r="I147" s="21" t="n">
        <x:f>PRODUCT(VLOOKUP(D147,$A$29:$F$42,2,FALSE),VLOOKUP(E147,$A$29:$F$42,3,FALSE),VLOOKUP(F147,$A$29:$F$42,4,FALSE),VLOOKUP(G147,$A$29:$F$42,5,FALSE),VLOOKUP(H147,$A$29:$F$42,6,FALSE))</x:f>
        <x:v>810</x:v>
      </x:c>
      <x:c r="J147" s="22" t="n">
        <x:f>I147/$N$5</x:f>
        <x:v>0.000253125</x:v>
      </x:c>
      <x:c r="K147" s="18" t="n">
        <x:f>MAX(INDEX($I$6:$K$11,MATCH(A147,$H$6:$H$11,0),MATCH(B147&amp;"連線",$I$5:$K$5,0)),IF(C147&gt;=3,INDEX($I$6:$K$11,MATCH("W",$H$6:$H$11,0),MATCH(C147&amp;"連線",$I$5:$K$5,0)),0))</x:f>
        <x:v>25</x:v>
      </x:c>
      <x:c r="L147" s="22" t="n">
        <x:f>J147*K147</x:f>
        <x:v>0.0063281249999999995</x:v>
      </x:c>
      <x:c r="M147" s="18" t="str">
        <x:f>IF(K147&gt;INDEX($I$6:$K$11,MATCH(A147,$H$6:$H$11,0),MATCH(B147&amp;"連線",$I$5:$K$5,0)),"取 Wild 連線較高賠率","取一般圖案連線賠率")</x:f>
        <x:v>取一般圖案連線賠率</x:v>
      </x:c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18" t="str">
        <x:v>Q</x:v>
      </x:c>
      <x:c r="B148" s="18" t="n">
        <x:v>4</x:v>
      </x:c>
      <x:c r="C148" s="18" t="n">
        <x:f>IF(D148&lt;&gt;"W",0,IF(E148&lt;&gt;"W",1,IF(F148&lt;&gt;"W",2,IF(G148&lt;&gt;"W",3,IF(H148&lt;&gt;"W",4,5)))))</x:f>
        <x:v>0</x:v>
      </x:c>
      <x:c r="D148" s="18" t="str">
        <x:v>Q</x:v>
      </x:c>
      <x:c r="E148" s="18" t="str">
        <x:v>W</x:v>
      </x:c>
      <x:c r="F148" s="18" t="str">
        <x:v>Q</x:v>
      </x:c>
      <x:c r="G148" s="18" t="str">
        <x:v>Q</x:v>
      </x:c>
      <x:c r="H148" s="18" t="str">
        <x:v>X_WQ</x:v>
      </x:c>
      <x:c r="I148" s="21" t="n">
        <x:f>PRODUCT(VLOOKUP(D148,$A$29:$F$42,2,FALSE),VLOOKUP(E148,$A$29:$F$42,3,FALSE),VLOOKUP(F148,$A$29:$F$42,4,FALSE),VLOOKUP(G148,$A$29:$F$42,5,FALSE),VLOOKUP(H148,$A$29:$F$42,6,FALSE))</x:f>
        <x:v>540</x:v>
      </x:c>
      <x:c r="J148" s="22" t="n">
        <x:f>I148/$N$5</x:f>
        <x:v>0.00016875</x:v>
      </x:c>
      <x:c r="K148" s="18" t="n">
        <x:f>MAX(INDEX($I$6:$K$11,MATCH(A148,$H$6:$H$11,0),MATCH(B148&amp;"連線",$I$5:$K$5,0)),IF(C148&gt;=3,INDEX($I$6:$K$11,MATCH("W",$H$6:$H$11,0),MATCH(C148&amp;"連線",$I$5:$K$5,0)),0))</x:f>
        <x:v>25</x:v>
      </x:c>
      <x:c r="L148" s="22" t="n">
        <x:f>J148*K148</x:f>
        <x:v>0.00421875</x:v>
      </x:c>
      <x:c r="M148" s="18" t="str">
        <x:f>IF(K148&gt;INDEX($I$6:$K$11,MATCH(A148,$H$6:$H$11,0),MATCH(B148&amp;"連線",$I$5:$K$5,0)),"取 Wild 連線較高賠率","取一般圖案連線賠率")</x:f>
        <x:v>取一般圖案連線賠率</x:v>
      </x:c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18" t="str">
        <x:v>Q</x:v>
      </x:c>
      <x:c r="B149" s="18" t="n">
        <x:v>4</x:v>
      </x:c>
      <x:c r="C149" s="18" t="n">
        <x:f>IF(D149&lt;&gt;"W",0,IF(E149&lt;&gt;"W",1,IF(F149&lt;&gt;"W",2,IF(G149&lt;&gt;"W",3,IF(H149&lt;&gt;"W",4,5)))))</x:f>
        <x:v>0</x:v>
      </x:c>
      <x:c r="D149" s="18" t="str">
        <x:v>Q</x:v>
      </x:c>
      <x:c r="E149" s="18" t="str">
        <x:v>Q</x:v>
      </x:c>
      <x:c r="F149" s="18" t="str">
        <x:v>W</x:v>
      </x:c>
      <x:c r="G149" s="18" t="str">
        <x:v>Q</x:v>
      </x:c>
      <x:c r="H149" s="18" t="str">
        <x:v>X_WQ</x:v>
      </x:c>
      <x:c r="I149" s="21" t="n">
        <x:f>PRODUCT(VLOOKUP(D149,$A$29:$F$42,2,FALSE),VLOOKUP(E149,$A$29:$F$42,3,FALSE),VLOOKUP(F149,$A$29:$F$42,4,FALSE),VLOOKUP(G149,$A$29:$F$42,5,FALSE),VLOOKUP(H149,$A$29:$F$42,6,FALSE))</x:f>
        <x:v>540</x:v>
      </x:c>
      <x:c r="J149" s="22" t="n">
        <x:f>I149/$N$5</x:f>
        <x:v>0.00016875</x:v>
      </x:c>
      <x:c r="K149" s="18" t="n">
        <x:f>MAX(INDEX($I$6:$K$11,MATCH(A149,$H$6:$H$11,0),MATCH(B149&amp;"連線",$I$5:$K$5,0)),IF(C149&gt;=3,INDEX($I$6:$K$11,MATCH("W",$H$6:$H$11,0),MATCH(C149&amp;"連線",$I$5:$K$5,0)),0))</x:f>
        <x:v>25</x:v>
      </x:c>
      <x:c r="L149" s="22" t="n">
        <x:f>J149*K149</x:f>
        <x:v>0.00421875</x:v>
      </x:c>
      <x:c r="M149" s="18" t="str">
        <x:f>IF(K149&gt;INDEX($I$6:$K$11,MATCH(A149,$H$6:$H$11,0),MATCH(B149&amp;"連線",$I$5:$K$5,0)),"取 Wild 連線較高賠率","取一般圖案連線賠率")</x:f>
        <x:v>取一般圖案連線賠率</x:v>
      </x:c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18" t="str">
        <x:v>Q</x:v>
      </x:c>
      <x:c r="B150" s="18" t="n">
        <x:v>4</x:v>
      </x:c>
      <x:c r="C150" s="18" t="n">
        <x:f>IF(D150&lt;&gt;"W",0,IF(E150&lt;&gt;"W",1,IF(F150&lt;&gt;"W",2,IF(G150&lt;&gt;"W",3,IF(H150&lt;&gt;"W",4,5)))))</x:f>
        <x:v>0</x:v>
      </x:c>
      <x:c r="D150" s="18" t="str">
        <x:v>Q</x:v>
      </x:c>
      <x:c r="E150" s="18" t="str">
        <x:v>Q</x:v>
      </x:c>
      <x:c r="F150" s="18" t="str">
        <x:v>Q</x:v>
      </x:c>
      <x:c r="G150" s="18" t="str">
        <x:v>W</x:v>
      </x:c>
      <x:c r="H150" s="18" t="str">
        <x:v>X_WQ</x:v>
      </x:c>
      <x:c r="I150" s="21" t="n">
        <x:f>PRODUCT(VLOOKUP(D150,$A$29:$F$42,2,FALSE),VLOOKUP(E150,$A$29:$F$42,3,FALSE),VLOOKUP(F150,$A$29:$F$42,4,FALSE),VLOOKUP(G150,$A$29:$F$42,5,FALSE),VLOOKUP(H150,$A$29:$F$42,6,FALSE))</x:f>
        <x:v>540</x:v>
      </x:c>
      <x:c r="J150" s="22" t="n">
        <x:f>I150/$N$5</x:f>
        <x:v>0.00016875</x:v>
      </x:c>
      <x:c r="K150" s="18" t="n">
        <x:f>MAX(INDEX($I$6:$K$11,MATCH(A150,$H$6:$H$11,0),MATCH(B150&amp;"連線",$I$5:$K$5,0)),IF(C150&gt;=3,INDEX($I$6:$K$11,MATCH("W",$H$6:$H$11,0),MATCH(C150&amp;"連線",$I$5:$K$5,0)),0))</x:f>
        <x:v>25</x:v>
      </x:c>
      <x:c r="L150" s="22" t="n">
        <x:f>J150*K150</x:f>
        <x:v>0.00421875</x:v>
      </x:c>
      <x:c r="M150" s="18" t="str">
        <x:f>IF(K150&gt;INDEX($I$6:$K$11,MATCH(A150,$H$6:$H$11,0),MATCH(B150&amp;"連線",$I$5:$K$5,0)),"取 Wild 連線較高賠率","取一般圖案連線賠率")</x:f>
        <x:v>取一般圖案連線賠率</x:v>
      </x:c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18" t="str">
        <x:v>Q</x:v>
      </x:c>
      <x:c r="B151" s="18" t="n">
        <x:v>4</x:v>
      </x:c>
      <x:c r="C151" s="18" t="n">
        <x:f>IF(D151&lt;&gt;"W",0,IF(E151&lt;&gt;"W",1,IF(F151&lt;&gt;"W",2,IF(G151&lt;&gt;"W",3,IF(H151&lt;&gt;"W",4,5)))))</x:f>
        <x:v>2</x:v>
      </x:c>
      <x:c r="D151" s="18" t="str">
        <x:v>W</x:v>
      </x:c>
      <x:c r="E151" s="18" t="str">
        <x:v>W</x:v>
      </x:c>
      <x:c r="F151" s="18" t="str">
        <x:v>Q</x:v>
      </x:c>
      <x:c r="G151" s="18" t="str">
        <x:v>Q</x:v>
      </x:c>
      <x:c r="H151" s="18" t="str">
        <x:v>X_WQ</x:v>
      </x:c>
      <x:c r="I151" s="21" t="n">
        <x:f>PRODUCT(VLOOKUP(D151,$A$29:$F$42,2,FALSE),VLOOKUP(E151,$A$29:$F$42,3,FALSE),VLOOKUP(F151,$A$29:$F$42,4,FALSE),VLOOKUP(G151,$A$29:$F$42,5,FALSE),VLOOKUP(H151,$A$29:$F$42,6,FALSE))</x:f>
        <x:v>540</x:v>
      </x:c>
      <x:c r="J151" s="22" t="n">
        <x:f>I151/$N$5</x:f>
        <x:v>0.00016875</x:v>
      </x:c>
      <x:c r="K151" s="18" t="n">
        <x:f>MAX(INDEX($I$6:$K$11,MATCH(A151,$H$6:$H$11,0),MATCH(B151&amp;"連線",$I$5:$K$5,0)),IF(C151&gt;=3,INDEX($I$6:$K$11,MATCH("W",$H$6:$H$11,0),MATCH(C151&amp;"連線",$I$5:$K$5,0)),0))</x:f>
        <x:v>25</x:v>
      </x:c>
      <x:c r="L151" s="22" t="n">
        <x:f>J151*K151</x:f>
        <x:v>0.00421875</x:v>
      </x:c>
      <x:c r="M151" s="18" t="str">
        <x:f>IF(K151&gt;INDEX($I$6:$K$11,MATCH(A151,$H$6:$H$11,0),MATCH(B151&amp;"連線",$I$5:$K$5,0)),"取 Wild 連線較高賠率","取一般圖案連線賠率")</x:f>
        <x:v>取一般圖案連線賠率</x:v>
      </x:c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18" t="str">
        <x:v>Q</x:v>
      </x:c>
      <x:c r="B152" s="18" t="n">
        <x:v>4</x:v>
      </x:c>
      <x:c r="C152" s="18" t="n">
        <x:f>IF(D152&lt;&gt;"W",0,IF(E152&lt;&gt;"W",1,IF(F152&lt;&gt;"W",2,IF(G152&lt;&gt;"W",3,IF(H152&lt;&gt;"W",4,5)))))</x:f>
        <x:v>1</x:v>
      </x:c>
      <x:c r="D152" s="18" t="str">
        <x:v>W</x:v>
      </x:c>
      <x:c r="E152" s="18" t="str">
        <x:v>Q</x:v>
      </x:c>
      <x:c r="F152" s="18" t="str">
        <x:v>W</x:v>
      </x:c>
      <x:c r="G152" s="18" t="str">
        <x:v>Q</x:v>
      </x:c>
      <x:c r="H152" s="18" t="str">
        <x:v>X_WQ</x:v>
      </x:c>
      <x:c r="I152" s="21" t="n">
        <x:f>PRODUCT(VLOOKUP(D152,$A$29:$F$42,2,FALSE),VLOOKUP(E152,$A$29:$F$42,3,FALSE),VLOOKUP(F152,$A$29:$F$42,4,FALSE),VLOOKUP(G152,$A$29:$F$42,5,FALSE),VLOOKUP(H152,$A$29:$F$42,6,FALSE))</x:f>
        <x:v>540</x:v>
      </x:c>
      <x:c r="J152" s="22" t="n">
        <x:f>I152/$N$5</x:f>
        <x:v>0.00016875</x:v>
      </x:c>
      <x:c r="K152" s="18" t="n">
        <x:f>MAX(INDEX($I$6:$K$11,MATCH(A152,$H$6:$H$11,0),MATCH(B152&amp;"連線",$I$5:$K$5,0)),IF(C152&gt;=3,INDEX($I$6:$K$11,MATCH("W",$H$6:$H$11,0),MATCH(C152&amp;"連線",$I$5:$K$5,0)),0))</x:f>
        <x:v>25</x:v>
      </x:c>
      <x:c r="L152" s="22" t="n">
        <x:f>J152*K152</x:f>
        <x:v>0.00421875</x:v>
      </x:c>
      <x:c r="M152" s="18" t="str">
        <x:f>IF(K152&gt;INDEX($I$6:$K$11,MATCH(A152,$H$6:$H$11,0),MATCH(B152&amp;"連線",$I$5:$K$5,0)),"取 Wild 連線較高賠率","取一般圖案連線賠率")</x:f>
        <x:v>取一般圖案連線賠率</x:v>
      </x:c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18" t="str">
        <x:v>Q</x:v>
      </x:c>
      <x:c r="B153" s="18" t="n">
        <x:v>4</x:v>
      </x:c>
      <x:c r="C153" s="18" t="n">
        <x:f>IF(D153&lt;&gt;"W",0,IF(E153&lt;&gt;"W",1,IF(F153&lt;&gt;"W",2,IF(G153&lt;&gt;"W",3,IF(H153&lt;&gt;"W",4,5)))))</x:f>
        <x:v>1</x:v>
      </x:c>
      <x:c r="D153" s="18" t="str">
        <x:v>W</x:v>
      </x:c>
      <x:c r="E153" s="18" t="str">
        <x:v>Q</x:v>
      </x:c>
      <x:c r="F153" s="18" t="str">
        <x:v>Q</x:v>
      </x:c>
      <x:c r="G153" s="18" t="str">
        <x:v>W</x:v>
      </x:c>
      <x:c r="H153" s="18" t="str">
        <x:v>X_WQ</x:v>
      </x:c>
      <x:c r="I153" s="21" t="n">
        <x:f>PRODUCT(VLOOKUP(D153,$A$29:$F$42,2,FALSE),VLOOKUP(E153,$A$29:$F$42,3,FALSE),VLOOKUP(F153,$A$29:$F$42,4,FALSE),VLOOKUP(G153,$A$29:$F$42,5,FALSE),VLOOKUP(H153,$A$29:$F$42,6,FALSE))</x:f>
        <x:v>540</x:v>
      </x:c>
      <x:c r="J153" s="22" t="n">
        <x:f>I153/$N$5</x:f>
        <x:v>0.00016875</x:v>
      </x:c>
      <x:c r="K153" s="18" t="n">
        <x:f>MAX(INDEX($I$6:$K$11,MATCH(A153,$H$6:$H$11,0),MATCH(B153&amp;"連線",$I$5:$K$5,0)),IF(C153&gt;=3,INDEX($I$6:$K$11,MATCH("W",$H$6:$H$11,0),MATCH(C153&amp;"連線",$I$5:$K$5,0)),0))</x:f>
        <x:v>25</x:v>
      </x:c>
      <x:c r="L153" s="22" t="n">
        <x:f>J153*K153</x:f>
        <x:v>0.00421875</x:v>
      </x:c>
      <x:c r="M153" s="18" t="str">
        <x:f>IF(K153&gt;INDEX($I$6:$K$11,MATCH(A153,$H$6:$H$11,0),MATCH(B153&amp;"連線",$I$5:$K$5,0)),"取 Wild 連線較高賠率","取一般圖案連線賠率")</x:f>
        <x:v>取一般圖案連線賠率</x:v>
      </x:c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 t="str">
        <x:v>Q</x:v>
      </x:c>
      <x:c r="B154" s="18" t="n">
        <x:v>4</x:v>
      </x:c>
      <x:c r="C154" s="18" t="n">
        <x:f>IF(D154&lt;&gt;"W",0,IF(E154&lt;&gt;"W",1,IF(F154&lt;&gt;"W",2,IF(G154&lt;&gt;"W",3,IF(H154&lt;&gt;"W",4,5)))))</x:f>
        <x:v>0</x:v>
      </x:c>
      <x:c r="D154" s="18" t="str">
        <x:v>Q</x:v>
      </x:c>
      <x:c r="E154" s="18" t="str">
        <x:v>W</x:v>
      </x:c>
      <x:c r="F154" s="18" t="str">
        <x:v>W</x:v>
      </x:c>
      <x:c r="G154" s="18" t="str">
        <x:v>Q</x:v>
      </x:c>
      <x:c r="H154" s="18" t="str">
        <x:v>X_WQ</x:v>
      </x:c>
      <x:c r="I154" s="21" t="n">
        <x:f>PRODUCT(VLOOKUP(D154,$A$29:$F$42,2,FALSE),VLOOKUP(E154,$A$29:$F$42,3,FALSE),VLOOKUP(F154,$A$29:$F$42,4,FALSE),VLOOKUP(G154,$A$29:$F$42,5,FALSE),VLOOKUP(H154,$A$29:$F$42,6,FALSE))</x:f>
        <x:v>360</x:v>
      </x:c>
      <x:c r="J154" s="22" t="n">
        <x:f>I154/$N$5</x:f>
        <x:v>0.0001125</x:v>
      </x:c>
      <x:c r="K154" s="18" t="n">
        <x:f>MAX(INDEX($I$6:$K$11,MATCH(A154,$H$6:$H$11,0),MATCH(B154&amp;"連線",$I$5:$K$5,0)),IF(C154&gt;=3,INDEX($I$6:$K$11,MATCH("W",$H$6:$H$11,0),MATCH(C154&amp;"連線",$I$5:$K$5,0)),0))</x:f>
        <x:v>25</x:v>
      </x:c>
      <x:c r="L154" s="22" t="n">
        <x:f>J154*K154</x:f>
        <x:v>0.0028125</x:v>
      </x:c>
      <x:c r="M154" s="18" t="str">
        <x:f>IF(K154&gt;INDEX($I$6:$K$11,MATCH(A154,$H$6:$H$11,0),MATCH(B154&amp;"連線",$I$5:$K$5,0)),"取 Wild 連線較高賠率","取一般圖案連線賠率")</x:f>
        <x:v>取一般圖案連線賠率</x:v>
      </x:c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 t="str">
        <x:v>Q</x:v>
      </x:c>
      <x:c r="B155" s="18" t="n">
        <x:v>4</x:v>
      </x:c>
      <x:c r="C155" s="18" t="n">
        <x:f>IF(D155&lt;&gt;"W",0,IF(E155&lt;&gt;"W",1,IF(F155&lt;&gt;"W",2,IF(G155&lt;&gt;"W",3,IF(H155&lt;&gt;"W",4,5)))))</x:f>
        <x:v>0</x:v>
      </x:c>
      <x:c r="D155" s="18" t="str">
        <x:v>Q</x:v>
      </x:c>
      <x:c r="E155" s="18" t="str">
        <x:v>W</x:v>
      </x:c>
      <x:c r="F155" s="18" t="str">
        <x:v>Q</x:v>
      </x:c>
      <x:c r="G155" s="18" t="str">
        <x:v>W</x:v>
      </x:c>
      <x:c r="H155" s="18" t="str">
        <x:v>X_WQ</x:v>
      </x:c>
      <x:c r="I155" s="21" t="n">
        <x:f>PRODUCT(VLOOKUP(D155,$A$29:$F$42,2,FALSE),VLOOKUP(E155,$A$29:$F$42,3,FALSE),VLOOKUP(F155,$A$29:$F$42,4,FALSE),VLOOKUP(G155,$A$29:$F$42,5,FALSE),VLOOKUP(H155,$A$29:$F$42,6,FALSE))</x:f>
        <x:v>360</x:v>
      </x:c>
      <x:c r="J155" s="22" t="n">
        <x:f>I155/$N$5</x:f>
        <x:v>0.0001125</x:v>
      </x:c>
      <x:c r="K155" s="18" t="n">
        <x:f>MAX(INDEX($I$6:$K$11,MATCH(A155,$H$6:$H$11,0),MATCH(B155&amp;"連線",$I$5:$K$5,0)),IF(C155&gt;=3,INDEX($I$6:$K$11,MATCH("W",$H$6:$H$11,0),MATCH(C155&amp;"連線",$I$5:$K$5,0)),0))</x:f>
        <x:v>25</x:v>
      </x:c>
      <x:c r="L155" s="22" t="n">
        <x:f>J155*K155</x:f>
        <x:v>0.0028125</x:v>
      </x:c>
      <x:c r="M155" s="18" t="str">
        <x:f>IF(K155&gt;INDEX($I$6:$K$11,MATCH(A155,$H$6:$H$11,0),MATCH(B155&amp;"連線",$I$5:$K$5,0)),"取 Wild 連線較高賠率","取一般圖案連線賠率")</x:f>
        <x:v>取一般圖案連線賠率</x:v>
      </x:c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 t="str">
        <x:v>Q</x:v>
      </x:c>
      <x:c r="B156" s="18" t="n">
        <x:v>4</x:v>
      </x:c>
      <x:c r="C156" s="18" t="n">
        <x:f>IF(D156&lt;&gt;"W",0,IF(E156&lt;&gt;"W",1,IF(F156&lt;&gt;"W",2,IF(G156&lt;&gt;"W",3,IF(H156&lt;&gt;"W",4,5)))))</x:f>
        <x:v>0</x:v>
      </x:c>
      <x:c r="D156" s="18" t="str">
        <x:v>Q</x:v>
      </x:c>
      <x:c r="E156" s="18" t="str">
        <x:v>Q</x:v>
      </x:c>
      <x:c r="F156" s="18" t="str">
        <x:v>W</x:v>
      </x:c>
      <x:c r="G156" s="18" t="str">
        <x:v>W</x:v>
      </x:c>
      <x:c r="H156" s="18" t="str">
        <x:v>X_WQ</x:v>
      </x:c>
      <x:c r="I156" s="21" t="n">
        <x:f>PRODUCT(VLOOKUP(D156,$A$29:$F$42,2,FALSE),VLOOKUP(E156,$A$29:$F$42,3,FALSE),VLOOKUP(F156,$A$29:$F$42,4,FALSE),VLOOKUP(G156,$A$29:$F$42,5,FALSE),VLOOKUP(H156,$A$29:$F$42,6,FALSE))</x:f>
        <x:v>360</x:v>
      </x:c>
      <x:c r="J156" s="22" t="n">
        <x:f>I156/$N$5</x:f>
        <x:v>0.0001125</x:v>
      </x:c>
      <x:c r="K156" s="18" t="n">
        <x:f>MAX(INDEX($I$6:$K$11,MATCH(A156,$H$6:$H$11,0),MATCH(B156&amp;"連線",$I$5:$K$5,0)),IF(C156&gt;=3,INDEX($I$6:$K$11,MATCH("W",$H$6:$H$11,0),MATCH(C156&amp;"連線",$I$5:$K$5,0)),0))</x:f>
        <x:v>25</x:v>
      </x:c>
      <x:c r="L156" s="22" t="n">
        <x:f>J156*K156</x:f>
        <x:v>0.0028125</x:v>
      </x:c>
      <x:c r="M156" s="18" t="str">
        <x:f>IF(K156&gt;INDEX($I$6:$K$11,MATCH(A156,$H$6:$H$11,0),MATCH(B156&amp;"連線",$I$5:$K$5,0)),"取 Wild 連線較高賠率","取一般圖案連線賠率")</x:f>
        <x:v>取一般圖案連線賠率</x:v>
      </x:c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 t="str">
        <x:v>Q</x:v>
      </x:c>
      <x:c r="B157" s="18" t="n">
        <x:v>4</x:v>
      </x:c>
      <x:c r="C157" s="18" t="n">
        <x:f>IF(D157&lt;&gt;"W",0,IF(E157&lt;&gt;"W",1,IF(F157&lt;&gt;"W",2,IF(G157&lt;&gt;"W",3,IF(H157&lt;&gt;"W",4,5)))))</x:f>
        <x:v>3</x:v>
      </x:c>
      <x:c r="D157" s="18" t="str">
        <x:v>W</x:v>
      </x:c>
      <x:c r="E157" s="18" t="str">
        <x:v>W</x:v>
      </x:c>
      <x:c r="F157" s="18" t="str">
        <x:v>W</x:v>
      </x:c>
      <x:c r="G157" s="18" t="str">
        <x:v>Q</x:v>
      </x:c>
      <x:c r="H157" s="18" t="str">
        <x:v>X_WQ</x:v>
      </x:c>
      <x:c r="I157" s="21" t="n">
        <x:f>PRODUCT(VLOOKUP(D157,$A$29:$F$42,2,FALSE),VLOOKUP(E157,$A$29:$F$42,3,FALSE),VLOOKUP(F157,$A$29:$F$42,4,FALSE),VLOOKUP(G157,$A$29:$F$42,5,FALSE),VLOOKUP(H157,$A$29:$F$42,6,FALSE))</x:f>
        <x:v>360</x:v>
      </x:c>
      <x:c r="J157" s="22" t="n">
        <x:f>I157/$N$5</x:f>
        <x:v>0.0001125</x:v>
      </x:c>
      <x:c r="K157" s="18" t="n">
        <x:f>MAX(INDEX($I$6:$K$11,MATCH(A157,$H$6:$H$11,0),MATCH(B157&amp;"連線",$I$5:$K$5,0)),IF(C157&gt;=3,INDEX($I$6:$K$11,MATCH("W",$H$6:$H$11,0),MATCH(C157&amp;"連線",$I$5:$K$5,0)),0))</x:f>
        <x:v>150</x:v>
      </x:c>
      <x:c r="L157" s="22" t="n">
        <x:f>J157*K157</x:f>
        <x:v>0.016875</x:v>
      </x:c>
      <x:c r="M157" s="18" t="str">
        <x:f>IF(K157&gt;INDEX($I$6:$K$11,MATCH(A157,$H$6:$H$11,0),MATCH(B157&amp;"連線",$I$5:$K$5,0)),"取 Wild 連線較高賠率","取一般圖案連線賠率")</x:f>
        <x:v>取 Wild 連線較高賠率</x:v>
      </x:c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 t="str">
        <x:v>Q</x:v>
      </x:c>
      <x:c r="B158" s="18" t="n">
        <x:v>4</x:v>
      </x:c>
      <x:c r="C158" s="18" t="n">
        <x:f>IF(D158&lt;&gt;"W",0,IF(E158&lt;&gt;"W",1,IF(F158&lt;&gt;"W",2,IF(G158&lt;&gt;"W",3,IF(H158&lt;&gt;"W",4,5)))))</x:f>
        <x:v>2</x:v>
      </x:c>
      <x:c r="D158" s="18" t="str">
        <x:v>W</x:v>
      </x:c>
      <x:c r="E158" s="18" t="str">
        <x:v>W</x:v>
      </x:c>
      <x:c r="F158" s="18" t="str">
        <x:v>Q</x:v>
      </x:c>
      <x:c r="G158" s="18" t="str">
        <x:v>W</x:v>
      </x:c>
      <x:c r="H158" s="18" t="str">
        <x:v>X_WQ</x:v>
      </x:c>
      <x:c r="I158" s="21" t="n">
        <x:f>PRODUCT(VLOOKUP(D158,$A$29:$F$42,2,FALSE),VLOOKUP(E158,$A$29:$F$42,3,FALSE),VLOOKUP(F158,$A$29:$F$42,4,FALSE),VLOOKUP(G158,$A$29:$F$42,5,FALSE),VLOOKUP(H158,$A$29:$F$42,6,FALSE))</x:f>
        <x:v>360</x:v>
      </x:c>
      <x:c r="J158" s="22" t="n">
        <x:f>I158/$N$5</x:f>
        <x:v>0.0001125</x:v>
      </x:c>
      <x:c r="K158" s="18" t="n">
        <x:f>MAX(INDEX($I$6:$K$11,MATCH(A158,$H$6:$H$11,0),MATCH(B158&amp;"連線",$I$5:$K$5,0)),IF(C158&gt;=3,INDEX($I$6:$K$11,MATCH("W",$H$6:$H$11,0),MATCH(C158&amp;"連線",$I$5:$K$5,0)),0))</x:f>
        <x:v>25</x:v>
      </x:c>
      <x:c r="L158" s="22" t="n">
        <x:f>J158*K158</x:f>
        <x:v>0.0028125</x:v>
      </x:c>
      <x:c r="M158" s="18" t="str">
        <x:f>IF(K158&gt;INDEX($I$6:$K$11,MATCH(A158,$H$6:$H$11,0),MATCH(B158&amp;"連線",$I$5:$K$5,0)),"取 Wild 連線較高賠率","取一般圖案連線賠率")</x:f>
        <x:v>取一般圖案連線賠率</x:v>
      </x:c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 t="str">
        <x:v>Q</x:v>
      </x:c>
      <x:c r="B159" s="18" t="n">
        <x:v>4</x:v>
      </x:c>
      <x:c r="C159" s="18" t="n">
        <x:f>IF(D159&lt;&gt;"W",0,IF(E159&lt;&gt;"W",1,IF(F159&lt;&gt;"W",2,IF(G159&lt;&gt;"W",3,IF(H159&lt;&gt;"W",4,5)))))</x:f>
        <x:v>1</x:v>
      </x:c>
      <x:c r="D159" s="18" t="str">
        <x:v>W</x:v>
      </x:c>
      <x:c r="E159" s="18" t="str">
        <x:v>Q</x:v>
      </x:c>
      <x:c r="F159" s="18" t="str">
        <x:v>W</x:v>
      </x:c>
      <x:c r="G159" s="18" t="str">
        <x:v>W</x:v>
      </x:c>
      <x:c r="H159" s="18" t="str">
        <x:v>X_WQ</x:v>
      </x:c>
      <x:c r="I159" s="21" t="n">
        <x:f>PRODUCT(VLOOKUP(D159,$A$29:$F$42,2,FALSE),VLOOKUP(E159,$A$29:$F$42,3,FALSE),VLOOKUP(F159,$A$29:$F$42,4,FALSE),VLOOKUP(G159,$A$29:$F$42,5,FALSE),VLOOKUP(H159,$A$29:$F$42,6,FALSE))</x:f>
        <x:v>360</x:v>
      </x:c>
      <x:c r="J159" s="22" t="n">
        <x:f>I159/$N$5</x:f>
        <x:v>0.0001125</x:v>
      </x:c>
      <x:c r="K159" s="18" t="n">
        <x:f>MAX(INDEX($I$6:$K$11,MATCH(A159,$H$6:$H$11,0),MATCH(B159&amp;"連線",$I$5:$K$5,0)),IF(C159&gt;=3,INDEX($I$6:$K$11,MATCH("W",$H$6:$H$11,0),MATCH(C159&amp;"連線",$I$5:$K$5,0)),0))</x:f>
        <x:v>25</x:v>
      </x:c>
      <x:c r="L159" s="22" t="n">
        <x:f>J159*K159</x:f>
        <x:v>0.0028125</x:v>
      </x:c>
      <x:c r="M159" s="18" t="str">
        <x:f>IF(K159&gt;INDEX($I$6:$K$11,MATCH(A159,$H$6:$H$11,0),MATCH(B159&amp;"連線",$I$5:$K$5,0)),"取 Wild 連線較高賠率","取一般圖案連線賠率")</x:f>
        <x:v>取一般圖案連線賠率</x:v>
      </x:c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 t="str">
        <x:v>Q</x:v>
      </x:c>
      <x:c r="B160" s="18" t="n">
        <x:v>4</x:v>
      </x:c>
      <x:c r="C160" s="18" t="n">
        <x:f>IF(D160&lt;&gt;"W",0,IF(E160&lt;&gt;"W",1,IF(F160&lt;&gt;"W",2,IF(G160&lt;&gt;"W",3,IF(H160&lt;&gt;"W",4,5)))))</x:f>
        <x:v>0</x:v>
      </x:c>
      <x:c r="D160" s="18" t="str">
        <x:v>Q</x:v>
      </x:c>
      <x:c r="E160" s="18" t="str">
        <x:v>W</x:v>
      </x:c>
      <x:c r="F160" s="18" t="str">
        <x:v>W</x:v>
      </x:c>
      <x:c r="G160" s="18" t="str">
        <x:v>W</x:v>
      </x:c>
      <x:c r="H160" s="18" t="str">
        <x:v>X_WQ</x:v>
      </x:c>
      <x:c r="I160" s="21" t="n">
        <x:f>PRODUCT(VLOOKUP(D160,$A$29:$F$42,2,FALSE),VLOOKUP(E160,$A$29:$F$42,3,FALSE),VLOOKUP(F160,$A$29:$F$42,4,FALSE),VLOOKUP(G160,$A$29:$F$42,5,FALSE),VLOOKUP(H160,$A$29:$F$42,6,FALSE))</x:f>
        <x:v>240</x:v>
      </x:c>
      <x:c r="J160" s="22" t="n">
        <x:f>I160/$N$5</x:f>
        <x:v>0.000075</x:v>
      </x:c>
      <x:c r="K160" s="18" t="n">
        <x:f>MAX(INDEX($I$6:$K$11,MATCH(A160,$H$6:$H$11,0),MATCH(B160&amp;"連線",$I$5:$K$5,0)),IF(C160&gt;=3,INDEX($I$6:$K$11,MATCH("W",$H$6:$H$11,0),MATCH(C160&amp;"連線",$I$5:$K$5,0)),0))</x:f>
        <x:v>25</x:v>
      </x:c>
      <x:c r="L160" s="22" t="n">
        <x:f>J160*K160</x:f>
        <x:v>0.001875</x:v>
      </x:c>
      <x:c r="M160" s="18" t="str">
        <x:f>IF(K160&gt;INDEX($I$6:$K$11,MATCH(A160,$H$6:$H$11,0),MATCH(B160&amp;"連線",$I$5:$K$5,0)),"取 Wild 連線較高賠率","取一般圖案連線賠率")</x:f>
        <x:v>取一般圖案連線賠率</x:v>
      </x:c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 t="str">
        <x:v>Q</x:v>
      </x:c>
      <x:c r="B161" s="18" t="n">
        <x:v>4</x:v>
      </x:c>
      <x:c r="C161" s="18" t="n">
        <x:f>IF(D161&lt;&gt;"W",0,IF(E161&lt;&gt;"W",1,IF(F161&lt;&gt;"W",2,IF(G161&lt;&gt;"W",3,IF(H161&lt;&gt;"W",4,5)))))</x:f>
        <x:v>4</x:v>
      </x:c>
      <x:c r="D161" s="18" t="str">
        <x:v>W</x:v>
      </x:c>
      <x:c r="E161" s="18" t="str">
        <x:v>W</x:v>
      </x:c>
      <x:c r="F161" s="18" t="str">
        <x:v>W</x:v>
      </x:c>
      <x:c r="G161" s="18" t="str">
        <x:v>W</x:v>
      </x:c>
      <x:c r="H161" s="18" t="str">
        <x:v>X_WQ</x:v>
      </x:c>
      <x:c r="I161" s="21" t="n">
        <x:f>PRODUCT(VLOOKUP(D161,$A$29:$F$42,2,FALSE),VLOOKUP(E161,$A$29:$F$42,3,FALSE),VLOOKUP(F161,$A$29:$F$42,4,FALSE),VLOOKUP(G161,$A$29:$F$42,5,FALSE),VLOOKUP(H161,$A$29:$F$42,6,FALSE))</x:f>
        <x:v>240</x:v>
      </x:c>
      <x:c r="J161" s="22" t="n">
        <x:f>I161/$N$5</x:f>
        <x:v>0.000075</x:v>
      </x:c>
      <x:c r="K161" s="18" t="n">
        <x:f>MAX(INDEX($I$6:$K$11,MATCH(A161,$H$6:$H$11,0),MATCH(B161&amp;"連線",$I$5:$K$5,0)),IF(C161&gt;=3,INDEX($I$6:$K$11,MATCH("W",$H$6:$H$11,0),MATCH(C161&amp;"連線",$I$5:$K$5,0)),0))</x:f>
        <x:v>300</x:v>
      </x:c>
      <x:c r="L161" s="22" t="n">
        <x:f>J161*K161</x:f>
        <x:v>0.0225</x:v>
      </x:c>
      <x:c r="M161" s="18" t="str">
        <x:f>IF(K161&gt;INDEX($I$6:$K$11,MATCH(A161,$H$6:$H$11,0),MATCH(B161&amp;"連線",$I$5:$K$5,0)),"取 Wild 連線較高賠率","取一般圖案連線賠率")</x:f>
        <x:v>取 Wild 連線較高賠率</x:v>
      </x:c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 t="str">
        <x:v>Q</x:v>
      </x:c>
      <x:c r="B162" s="18" t="n">
        <x:v>3</x:v>
      </x:c>
      <x:c r="C162" s="18" t="n">
        <x:f>IF(D162&lt;&gt;"W",0,IF(E162&lt;&gt;"W",1,IF(F162&lt;&gt;"W",2,IF(G162&lt;&gt;"W",3,IF(H162&lt;&gt;"W",4,5)))))</x:f>
        <x:v>1</x:v>
      </x:c>
      <x:c r="D162" s="18" t="str">
        <x:v>W</x:v>
      </x:c>
      <x:c r="E162" s="18" t="str">
        <x:v>Q</x:v>
      </x:c>
      <x:c r="F162" s="18" t="str">
        <x:v>Q</x:v>
      </x:c>
      <x:c r="G162" s="18" t="str">
        <x:v>X_WQ</x:v>
      </x:c>
      <x:c r="H162" s="18" t="str">
        <x:v>any</x:v>
      </x:c>
      <x:c r="I162" s="21" t="n">
        <x:f>PRODUCT(VLOOKUP(D162,$A$29:$F$42,2,FALSE),VLOOKUP(E162,$A$29:$F$42,3,FALSE),VLOOKUP(F162,$A$29:$F$42,4,FALSE),VLOOKUP(G162,$A$29:$F$42,5,FALSE),VLOOKUP(H162,$A$29:$F$42,6,FALSE))</x:f>
        <x:v>5400</x:v>
      </x:c>
      <x:c r="J162" s="22" t="n">
        <x:f>I162/$N$5</x:f>
        <x:v>0.0016875</x:v>
      </x:c>
      <x:c r="K162" s="18" t="n">
        <x:f>MAX(INDEX($I$6:$K$11,MATCH(A162,$H$6:$H$11,0),MATCH(B162&amp;"連線",$I$5:$K$5,0)),IF(C162&gt;=3,INDEX($I$6:$K$11,MATCH("W",$H$6:$H$11,0),MATCH(C162&amp;"連線",$I$5:$K$5,0)),0))</x:f>
        <x:v>5</x:v>
      </x:c>
      <x:c r="L162" s="22" t="n">
        <x:f>J162*K162</x:f>
        <x:v>0.0084375</x:v>
      </x:c>
      <x:c r="M162" s="18" t="str">
        <x:f>IF(K162&gt;INDEX($I$6:$K$11,MATCH(A162,$H$6:$H$11,0),MATCH(B162&amp;"連線",$I$5:$K$5,0)),"取 Wild 連線較高賠率","取一般圖案連線賠率")</x:f>
        <x:v>取一般圖案連線賠率</x:v>
      </x:c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 t="str">
        <x:v>Q</x:v>
      </x:c>
      <x:c r="B163" s="18" t="n">
        <x:v>3</x:v>
      </x:c>
      <x:c r="C163" s="18" t="n">
        <x:f>IF(D163&lt;&gt;"W",0,IF(E163&lt;&gt;"W",1,IF(F163&lt;&gt;"W",2,IF(G163&lt;&gt;"W",3,IF(H163&lt;&gt;"W",4,5)))))</x:f>
        <x:v>0</x:v>
      </x:c>
      <x:c r="D163" s="18" t="str">
        <x:v>Q</x:v>
      </x:c>
      <x:c r="E163" s="18" t="str">
        <x:v>W</x:v>
      </x:c>
      <x:c r="F163" s="18" t="str">
        <x:v>Q</x:v>
      </x:c>
      <x:c r="G163" s="18" t="str">
        <x:v>X_WQ</x:v>
      </x:c>
      <x:c r="H163" s="18" t="str">
        <x:v>any</x:v>
      </x:c>
      <x:c r="I163" s="21" t="n">
        <x:f>PRODUCT(VLOOKUP(D163,$A$29:$F$42,2,FALSE),VLOOKUP(E163,$A$29:$F$42,3,FALSE),VLOOKUP(F163,$A$29:$F$42,4,FALSE),VLOOKUP(G163,$A$29:$F$42,5,FALSE),VLOOKUP(H163,$A$29:$F$42,6,FALSE))</x:f>
        <x:v>3600</x:v>
      </x:c>
      <x:c r="J163" s="22" t="n">
        <x:f>I163/$N$5</x:f>
        <x:v>0.001125</x:v>
      </x:c>
      <x:c r="K163" s="18" t="n">
        <x:f>MAX(INDEX($I$6:$K$11,MATCH(A163,$H$6:$H$11,0),MATCH(B163&amp;"連線",$I$5:$K$5,0)),IF(C163&gt;=3,INDEX($I$6:$K$11,MATCH("W",$H$6:$H$11,0),MATCH(C163&amp;"連線",$I$5:$K$5,0)),0))</x:f>
        <x:v>5</x:v>
      </x:c>
      <x:c r="L163" s="22" t="n">
        <x:f>J163*K163</x:f>
        <x:v>0.005625</x:v>
      </x:c>
      <x:c r="M163" s="18" t="str">
        <x:f>IF(K163&gt;INDEX($I$6:$K$11,MATCH(A163,$H$6:$H$11,0),MATCH(B163&amp;"連線",$I$5:$K$5,0)),"取 Wild 連線較高賠率","取一般圖案連線賠率")</x:f>
        <x:v>取一般圖案連線賠率</x:v>
      </x:c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 t="str">
        <x:v>Q</x:v>
      </x:c>
      <x:c r="B164" s="18" t="n">
        <x:v>3</x:v>
      </x:c>
      <x:c r="C164" s="18" t="n">
        <x:f>IF(D164&lt;&gt;"W",0,IF(E164&lt;&gt;"W",1,IF(F164&lt;&gt;"W",2,IF(G164&lt;&gt;"W",3,IF(H164&lt;&gt;"W",4,5)))))</x:f>
        <x:v>0</x:v>
      </x:c>
      <x:c r="D164" s="18" t="str">
        <x:v>Q</x:v>
      </x:c>
      <x:c r="E164" s="18" t="str">
        <x:v>Q</x:v>
      </x:c>
      <x:c r="F164" s="18" t="str">
        <x:v>W</x:v>
      </x:c>
      <x:c r="G164" s="18" t="str">
        <x:v>X_WQ</x:v>
      </x:c>
      <x:c r="H164" s="18" t="str">
        <x:v>any</x:v>
      </x:c>
      <x:c r="I164" s="21" t="n">
        <x:f>PRODUCT(VLOOKUP(D164,$A$29:$F$42,2,FALSE),VLOOKUP(E164,$A$29:$F$42,3,FALSE),VLOOKUP(F164,$A$29:$F$42,4,FALSE),VLOOKUP(G164,$A$29:$F$42,5,FALSE),VLOOKUP(H164,$A$29:$F$42,6,FALSE))</x:f>
        <x:v>3600</x:v>
      </x:c>
      <x:c r="J164" s="22" t="n">
        <x:f>I164/$N$5</x:f>
        <x:v>0.001125</x:v>
      </x:c>
      <x:c r="K164" s="18" t="n">
        <x:f>MAX(INDEX($I$6:$K$11,MATCH(A164,$H$6:$H$11,0),MATCH(B164&amp;"連線",$I$5:$K$5,0)),IF(C164&gt;=3,INDEX($I$6:$K$11,MATCH("W",$H$6:$H$11,0),MATCH(C164&amp;"連線",$I$5:$K$5,0)),0))</x:f>
        <x:v>5</x:v>
      </x:c>
      <x:c r="L164" s="22" t="n">
        <x:f>J164*K164</x:f>
        <x:v>0.005625</x:v>
      </x:c>
      <x:c r="M164" s="18" t="str">
        <x:f>IF(K164&gt;INDEX($I$6:$K$11,MATCH(A164,$H$6:$H$11,0),MATCH(B164&amp;"連線",$I$5:$K$5,0)),"取 Wild 連線較高賠率","取一般圖案連線賠率")</x:f>
        <x:v>取一般圖案連線賠率</x:v>
      </x:c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 t="str">
        <x:v>Q</x:v>
      </x:c>
      <x:c r="B165" s="18" t="n">
        <x:v>3</x:v>
      </x:c>
      <x:c r="C165" s="18" t="n">
        <x:f>IF(D165&lt;&gt;"W",0,IF(E165&lt;&gt;"W",1,IF(F165&lt;&gt;"W",2,IF(G165&lt;&gt;"W",3,IF(H165&lt;&gt;"W",4,5)))))</x:f>
        <x:v>2</x:v>
      </x:c>
      <x:c r="D165" s="18" t="str">
        <x:v>W</x:v>
      </x:c>
      <x:c r="E165" s="18" t="str">
        <x:v>W</x:v>
      </x:c>
      <x:c r="F165" s="18" t="str">
        <x:v>Q</x:v>
      </x:c>
      <x:c r="G165" s="18" t="str">
        <x:v>X_WQ</x:v>
      </x:c>
      <x:c r="H165" s="18" t="str">
        <x:v>any</x:v>
      </x:c>
      <x:c r="I165" s="21" t="n">
        <x:f>PRODUCT(VLOOKUP(D165,$A$29:$F$42,2,FALSE),VLOOKUP(E165,$A$29:$F$42,3,FALSE),VLOOKUP(F165,$A$29:$F$42,4,FALSE),VLOOKUP(G165,$A$29:$F$42,5,FALSE),VLOOKUP(H165,$A$29:$F$42,6,FALSE))</x:f>
        <x:v>3600</x:v>
      </x:c>
      <x:c r="J165" s="22" t="n">
        <x:f>I165/$N$5</x:f>
        <x:v>0.001125</x:v>
      </x:c>
      <x:c r="K165" s="18" t="n">
        <x:f>MAX(INDEX($I$6:$K$11,MATCH(A165,$H$6:$H$11,0),MATCH(B165&amp;"連線",$I$5:$K$5,0)),IF(C165&gt;=3,INDEX($I$6:$K$11,MATCH("W",$H$6:$H$11,0),MATCH(C165&amp;"連線",$I$5:$K$5,0)),0))</x:f>
        <x:v>5</x:v>
      </x:c>
      <x:c r="L165" s="22" t="n">
        <x:f>J165*K165</x:f>
        <x:v>0.005625</x:v>
      </x:c>
      <x:c r="M165" s="18" t="str">
        <x:f>IF(K165&gt;INDEX($I$6:$K$11,MATCH(A165,$H$6:$H$11,0),MATCH(B165&amp;"連線",$I$5:$K$5,0)),"取 Wild 連線較高賠率","取一般圖案連線賠率")</x:f>
        <x:v>取一般圖案連線賠率</x:v>
      </x:c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 t="str">
        <x:v>Q</x:v>
      </x:c>
      <x:c r="B166" s="18" t="n">
        <x:v>3</x:v>
      </x:c>
      <x:c r="C166" s="18" t="n">
        <x:f>IF(D166&lt;&gt;"W",0,IF(E166&lt;&gt;"W",1,IF(F166&lt;&gt;"W",2,IF(G166&lt;&gt;"W",3,IF(H166&lt;&gt;"W",4,5)))))</x:f>
        <x:v>1</x:v>
      </x:c>
      <x:c r="D166" s="18" t="str">
        <x:v>W</x:v>
      </x:c>
      <x:c r="E166" s="18" t="str">
        <x:v>Q</x:v>
      </x:c>
      <x:c r="F166" s="18" t="str">
        <x:v>W</x:v>
      </x:c>
      <x:c r="G166" s="18" t="str">
        <x:v>X_WQ</x:v>
      </x:c>
      <x:c r="H166" s="18" t="str">
        <x:v>any</x:v>
      </x:c>
      <x:c r="I166" s="21" t="n">
        <x:f>PRODUCT(VLOOKUP(D166,$A$29:$F$42,2,FALSE),VLOOKUP(E166,$A$29:$F$42,3,FALSE),VLOOKUP(F166,$A$29:$F$42,4,FALSE),VLOOKUP(G166,$A$29:$F$42,5,FALSE),VLOOKUP(H166,$A$29:$F$42,6,FALSE))</x:f>
        <x:v>3600</x:v>
      </x:c>
      <x:c r="J166" s="22" t="n">
        <x:f>I166/$N$5</x:f>
        <x:v>0.001125</x:v>
      </x:c>
      <x:c r="K166" s="18" t="n">
        <x:f>MAX(INDEX($I$6:$K$11,MATCH(A166,$H$6:$H$11,0),MATCH(B166&amp;"連線",$I$5:$K$5,0)),IF(C166&gt;=3,INDEX($I$6:$K$11,MATCH("W",$H$6:$H$11,0),MATCH(C166&amp;"連線",$I$5:$K$5,0)),0))</x:f>
        <x:v>5</x:v>
      </x:c>
      <x:c r="L166" s="22" t="n">
        <x:f>J166*K166</x:f>
        <x:v>0.005625</x:v>
      </x:c>
      <x:c r="M166" s="18" t="str">
        <x:f>IF(K166&gt;INDEX($I$6:$K$11,MATCH(A166,$H$6:$H$11,0),MATCH(B166&amp;"連線",$I$5:$K$5,0)),"取 Wild 連線較高賠率","取一般圖案連線賠率")</x:f>
        <x:v>取一般圖案連線賠率</x:v>
      </x:c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 t="str">
        <x:v>Q</x:v>
      </x:c>
      <x:c r="B167" s="18" t="n">
        <x:v>3</x:v>
      </x:c>
      <x:c r="C167" s="18" t="n">
        <x:f>IF(D167&lt;&gt;"W",0,IF(E167&lt;&gt;"W",1,IF(F167&lt;&gt;"W",2,IF(G167&lt;&gt;"W",3,IF(H167&lt;&gt;"W",4,5)))))</x:f>
        <x:v>0</x:v>
      </x:c>
      <x:c r="D167" s="18" t="str">
        <x:v>Q</x:v>
      </x:c>
      <x:c r="E167" s="18" t="str">
        <x:v>W</x:v>
      </x:c>
      <x:c r="F167" s="18" t="str">
        <x:v>W</x:v>
      </x:c>
      <x:c r="G167" s="18" t="str">
        <x:v>X_WQ</x:v>
      </x:c>
      <x:c r="H167" s="18" t="str">
        <x:v>any</x:v>
      </x:c>
      <x:c r="I167" s="21" t="n">
        <x:f>PRODUCT(VLOOKUP(D167,$A$29:$F$42,2,FALSE),VLOOKUP(E167,$A$29:$F$42,3,FALSE),VLOOKUP(F167,$A$29:$F$42,4,FALSE),VLOOKUP(G167,$A$29:$F$42,5,FALSE),VLOOKUP(H167,$A$29:$F$42,6,FALSE))</x:f>
        <x:v>2400</x:v>
      </x:c>
      <x:c r="J167" s="22" t="n">
        <x:f>I167/$N$5</x:f>
        <x:v>0.00075</x:v>
      </x:c>
      <x:c r="K167" s="18" t="n">
        <x:f>MAX(INDEX($I$6:$K$11,MATCH(A167,$H$6:$H$11,0),MATCH(B167&amp;"連線",$I$5:$K$5,0)),IF(C167&gt;=3,INDEX($I$6:$K$11,MATCH("W",$H$6:$H$11,0),MATCH(C167&amp;"連線",$I$5:$K$5,0)),0))</x:f>
        <x:v>5</x:v>
      </x:c>
      <x:c r="L167" s="22" t="n">
        <x:f>J167*K167</x:f>
        <x:v>0.00375</x:v>
      </x:c>
      <x:c r="M167" s="18" t="str">
        <x:f>IF(K167&gt;INDEX($I$6:$K$11,MATCH(A167,$H$6:$H$11,0),MATCH(B167&amp;"連線",$I$5:$K$5,0)),"取 Wild 連線較高賠率","取一般圖案連線賠率")</x:f>
        <x:v>取一般圖案連線賠率</x:v>
      </x:c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 t="str">
        <x:v>Q</x:v>
      </x:c>
      <x:c r="B168" s="18" t="n">
        <x:v>3</x:v>
      </x:c>
      <x:c r="C168" s="18" t="n">
        <x:f>IF(D168&lt;&gt;"W",0,IF(E168&lt;&gt;"W",1,IF(F168&lt;&gt;"W",2,IF(G168&lt;&gt;"W",3,IF(H168&lt;&gt;"W",4,5)))))</x:f>
        <x:v>3</x:v>
      </x:c>
      <x:c r="D168" s="18" t="str">
        <x:v>W</x:v>
      </x:c>
      <x:c r="E168" s="18" t="str">
        <x:v>W</x:v>
      </x:c>
      <x:c r="F168" s="18" t="str">
        <x:v>W</x:v>
      </x:c>
      <x:c r="G168" s="18" t="str">
        <x:v>X_WQ</x:v>
      </x:c>
      <x:c r="H168" s="18" t="str">
        <x:v>any</x:v>
      </x:c>
      <x:c r="I168" s="21" t="n">
        <x:f>PRODUCT(VLOOKUP(D168,$A$29:$F$42,2,FALSE),VLOOKUP(E168,$A$29:$F$42,3,FALSE),VLOOKUP(F168,$A$29:$F$42,4,FALSE),VLOOKUP(G168,$A$29:$F$42,5,FALSE),VLOOKUP(H168,$A$29:$F$42,6,FALSE))</x:f>
        <x:v>2400</x:v>
      </x:c>
      <x:c r="J168" s="22" t="n">
        <x:f>I168/$N$5</x:f>
        <x:v>0.00075</x:v>
      </x:c>
      <x:c r="K168" s="18" t="n">
        <x:f>MAX(INDEX($I$6:$K$11,MATCH(A168,$H$6:$H$11,0),MATCH(B168&amp;"連線",$I$5:$K$5,0)),IF(C168&gt;=3,INDEX($I$6:$K$11,MATCH("W",$H$6:$H$11,0),MATCH(C168&amp;"連線",$I$5:$K$5,0)),0))</x:f>
        <x:v>150</x:v>
      </x:c>
      <x:c r="L168" s="22" t="n">
        <x:f>J168*K168</x:f>
        <x:v>0.1125</x:v>
      </x:c>
      <x:c r="M168" s="18" t="str">
        <x:f>IF(K168&gt;INDEX($I$6:$K$11,MATCH(A168,$H$6:$H$11,0),MATCH(B168&amp;"連線",$I$5:$K$5,0)),"取 Wild 連線較高賠率","取一般圖案連線賠率")</x:f>
        <x:v>取 Wild 連線較高賠率</x:v>
      </x:c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 t="str">
        <x:v>J</x:v>
      </x:c>
      <x:c r="B169" s="18" t="n">
        <x:v>5</x:v>
      </x:c>
      <x:c r="C169" s="18" t="n">
        <x:f>IF(D169&lt;&gt;"W",0,IF(E169&lt;&gt;"W",1,IF(F169&lt;&gt;"W",2,IF(G169&lt;&gt;"W",3,IF(H169&lt;&gt;"W",4,5)))))</x:f>
        <x:v>1</x:v>
      </x:c>
      <x:c r="D169" s="18" t="str">
        <x:v>W</x:v>
      </x:c>
      <x:c r="E169" s="18" t="str">
        <x:v>J</x:v>
      </x:c>
      <x:c r="F169" s="18" t="str">
        <x:v>J</x:v>
      </x:c>
      <x:c r="G169" s="18" t="str">
        <x:v>J</x:v>
      </x:c>
      <x:c r="H169" s="18" t="str">
        <x:v>J</x:v>
      </x:c>
      <x:c r="I169" s="21" t="n">
        <x:f>PRODUCT(VLOOKUP(D169,$A$29:$F$42,2,FALSE),VLOOKUP(E169,$A$29:$F$42,3,FALSE),VLOOKUP(F169,$A$29:$F$42,4,FALSE),VLOOKUP(G169,$A$29:$F$42,5,FALSE),VLOOKUP(H169,$A$29:$F$42,6,FALSE))</x:f>
        <x:v>640</x:v>
      </x:c>
      <x:c r="J169" s="22" t="n">
        <x:f>I169/$N$5</x:f>
        <x:v>0.0002</x:v>
      </x:c>
      <x:c r="K169" s="18" t="n">
        <x:f>MAX(INDEX($I$6:$K$11,MATCH(A169,$H$6:$H$11,0),MATCH(B169&amp;"連線",$I$5:$K$5,0)),IF(C169&gt;=3,INDEX($I$6:$K$11,MATCH("W",$H$6:$H$11,0),MATCH(C169&amp;"連線",$I$5:$K$5,0)),0))</x:f>
        <x:v>75</x:v>
      </x:c>
      <x:c r="L169" s="22" t="n">
        <x:f>J169*K169</x:f>
        <x:v>0.015000000000000001</x:v>
      </x:c>
      <x:c r="M169" s="18" t="str">
        <x:f>IF(K169&gt;INDEX($I$6:$K$11,MATCH(A169,$H$6:$H$11,0),MATCH(B169&amp;"連線",$I$5:$K$5,0)),"取 Wild 連線較高賠率","取一般圖案連線賠率")</x:f>
        <x:v>取一般圖案連線賠率</x:v>
      </x:c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 t="str">
        <x:v>J</x:v>
      </x:c>
      <x:c r="B170" s="18" t="n">
        <x:v>5</x:v>
      </x:c>
      <x:c r="C170" s="18" t="n">
        <x:f>IF(D170&lt;&gt;"W",0,IF(E170&lt;&gt;"W",1,IF(F170&lt;&gt;"W",2,IF(G170&lt;&gt;"W",3,IF(H170&lt;&gt;"W",4,5)))))</x:f>
        <x:v>0</x:v>
      </x:c>
      <x:c r="D170" s="18" t="str">
        <x:v>J</x:v>
      </x:c>
      <x:c r="E170" s="18" t="str">
        <x:v>W</x:v>
      </x:c>
      <x:c r="F170" s="18" t="str">
        <x:v>J</x:v>
      </x:c>
      <x:c r="G170" s="18" t="str">
        <x:v>J</x:v>
      </x:c>
      <x:c r="H170" s="18" t="str">
        <x:v>J</x:v>
      </x:c>
      <x:c r="I170" s="21" t="n">
        <x:f>PRODUCT(VLOOKUP(D170,$A$29:$F$42,2,FALSE),VLOOKUP(E170,$A$29:$F$42,3,FALSE),VLOOKUP(F170,$A$29:$F$42,4,FALSE),VLOOKUP(G170,$A$29:$F$42,5,FALSE),VLOOKUP(H170,$A$29:$F$42,6,FALSE))</x:f>
        <x:v>512</x:v>
      </x:c>
      <x:c r="J170" s="22" t="n">
        <x:f>I170/$N$5</x:f>
        <x:v>0.00016</x:v>
      </x:c>
      <x:c r="K170" s="18" t="n">
        <x:f>MAX(INDEX($I$6:$K$11,MATCH(A170,$H$6:$H$11,0),MATCH(B170&amp;"連線",$I$5:$K$5,0)),IF(C170&gt;=3,INDEX($I$6:$K$11,MATCH("W",$H$6:$H$11,0),MATCH(C170&amp;"連線",$I$5:$K$5,0)),0))</x:f>
        <x:v>75</x:v>
      </x:c>
      <x:c r="L170" s="22" t="n">
        <x:f>J170*K170</x:f>
        <x:v>0.012</x:v>
      </x:c>
      <x:c r="M170" s="18" t="str">
        <x:f>IF(K170&gt;INDEX($I$6:$K$11,MATCH(A170,$H$6:$H$11,0),MATCH(B170&amp;"連線",$I$5:$K$5,0)),"取 Wild 連線較高賠率","取一般圖案連線賠率")</x:f>
        <x:v>取一般圖案連線賠率</x:v>
      </x:c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 t="str">
        <x:v>J</x:v>
      </x:c>
      <x:c r="B171" s="18" t="n">
        <x:v>5</x:v>
      </x:c>
      <x:c r="C171" s="18" t="n">
        <x:f>IF(D171&lt;&gt;"W",0,IF(E171&lt;&gt;"W",1,IF(F171&lt;&gt;"W",2,IF(G171&lt;&gt;"W",3,IF(H171&lt;&gt;"W",4,5)))))</x:f>
        <x:v>0</x:v>
      </x:c>
      <x:c r="D171" s="18" t="str">
        <x:v>J</x:v>
      </x:c>
      <x:c r="E171" s="18" t="str">
        <x:v>J</x:v>
      </x:c>
      <x:c r="F171" s="18" t="str">
        <x:v>W</x:v>
      </x:c>
      <x:c r="G171" s="18" t="str">
        <x:v>J</x:v>
      </x:c>
      <x:c r="H171" s="18" t="str">
        <x:v>J</x:v>
      </x:c>
      <x:c r="I171" s="21" t="n">
        <x:f>PRODUCT(VLOOKUP(D171,$A$29:$F$42,2,FALSE),VLOOKUP(E171,$A$29:$F$42,3,FALSE),VLOOKUP(F171,$A$29:$F$42,4,FALSE),VLOOKUP(G171,$A$29:$F$42,5,FALSE),VLOOKUP(H171,$A$29:$F$42,6,FALSE))</x:f>
        <x:v>640</x:v>
      </x:c>
      <x:c r="J171" s="22" t="n">
        <x:f>I171/$N$5</x:f>
        <x:v>0.0002</x:v>
      </x:c>
      <x:c r="K171" s="18" t="n">
        <x:f>MAX(INDEX($I$6:$K$11,MATCH(A171,$H$6:$H$11,0),MATCH(B171&amp;"連線",$I$5:$K$5,0)),IF(C171&gt;=3,INDEX($I$6:$K$11,MATCH("W",$H$6:$H$11,0),MATCH(C171&amp;"連線",$I$5:$K$5,0)),0))</x:f>
        <x:v>75</x:v>
      </x:c>
      <x:c r="L171" s="22" t="n">
        <x:f>J171*K171</x:f>
        <x:v>0.015000000000000001</x:v>
      </x:c>
      <x:c r="M171" s="18" t="str">
        <x:f>IF(K171&gt;INDEX($I$6:$K$11,MATCH(A171,$H$6:$H$11,0),MATCH(B171&amp;"連線",$I$5:$K$5,0)),"取 Wild 連線較高賠率","取一般圖案連線賠率")</x:f>
        <x:v>取一般圖案連線賠率</x:v>
      </x:c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 t="str">
        <x:v>J</x:v>
      </x:c>
      <x:c r="B172" s="18" t="n">
        <x:v>5</x:v>
      </x:c>
      <x:c r="C172" s="18" t="n">
        <x:f>IF(D172&lt;&gt;"W",0,IF(E172&lt;&gt;"W",1,IF(F172&lt;&gt;"W",2,IF(G172&lt;&gt;"W",3,IF(H172&lt;&gt;"W",4,5)))))</x:f>
        <x:v>0</x:v>
      </x:c>
      <x:c r="D172" s="18" t="str">
        <x:v>J</x:v>
      </x:c>
      <x:c r="E172" s="18" t="str">
        <x:v>J</x:v>
      </x:c>
      <x:c r="F172" s="18" t="str">
        <x:v>J</x:v>
      </x:c>
      <x:c r="G172" s="18" t="str">
        <x:v>W</x:v>
      </x:c>
      <x:c r="H172" s="18" t="str">
        <x:v>J</x:v>
      </x:c>
      <x:c r="I172" s="21" t="n">
        <x:f>PRODUCT(VLOOKUP(D172,$A$29:$F$42,2,FALSE),VLOOKUP(E172,$A$29:$F$42,3,FALSE),VLOOKUP(F172,$A$29:$F$42,4,FALSE),VLOOKUP(G172,$A$29:$F$42,5,FALSE),VLOOKUP(H172,$A$29:$F$42,6,FALSE))</x:f>
        <x:v>640</x:v>
      </x:c>
      <x:c r="J172" s="22" t="n">
        <x:f>I172/$N$5</x:f>
        <x:v>0.0002</x:v>
      </x:c>
      <x:c r="K172" s="18" t="n">
        <x:f>MAX(INDEX($I$6:$K$11,MATCH(A172,$H$6:$H$11,0),MATCH(B172&amp;"連線",$I$5:$K$5,0)),IF(C172&gt;=3,INDEX($I$6:$K$11,MATCH("W",$H$6:$H$11,0),MATCH(C172&amp;"連線",$I$5:$K$5,0)),0))</x:f>
        <x:v>75</x:v>
      </x:c>
      <x:c r="L172" s="22" t="n">
        <x:f>J172*K172</x:f>
        <x:v>0.015000000000000001</x:v>
      </x:c>
      <x:c r="M172" s="18" t="str">
        <x:f>IF(K172&gt;INDEX($I$6:$K$11,MATCH(A172,$H$6:$H$11,0),MATCH(B172&amp;"連線",$I$5:$K$5,0)),"取 Wild 連線較高賠率","取一般圖案連線賠率")</x:f>
        <x:v>取一般圖案連線賠率</x:v>
      </x:c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 t="str">
        <x:v>J</x:v>
      </x:c>
      <x:c r="B173" s="18" t="n">
        <x:v>5</x:v>
      </x:c>
      <x:c r="C173" s="18" t="n">
        <x:f>IF(D173&lt;&gt;"W",0,IF(E173&lt;&gt;"W",1,IF(F173&lt;&gt;"W",2,IF(G173&lt;&gt;"W",3,IF(H173&lt;&gt;"W",4,5)))))</x:f>
        <x:v>0</x:v>
      </x:c>
      <x:c r="D173" s="18" t="str">
        <x:v>J</x:v>
      </x:c>
      <x:c r="E173" s="18" t="str">
        <x:v>J</x:v>
      </x:c>
      <x:c r="F173" s="18" t="str">
        <x:v>J</x:v>
      </x:c>
      <x:c r="G173" s="18" t="str">
        <x:v>J</x:v>
      </x:c>
      <x:c r="H173" s="18" t="str">
        <x:v>W</x:v>
      </x:c>
      <x:c r="I173" s="21" t="n">
        <x:f>PRODUCT(VLOOKUP(D173,$A$29:$F$42,2,FALSE),VLOOKUP(E173,$A$29:$F$42,3,FALSE),VLOOKUP(F173,$A$29:$F$42,4,FALSE),VLOOKUP(G173,$A$29:$F$42,5,FALSE),VLOOKUP(H173,$A$29:$F$42,6,FALSE))</x:f>
        <x:v>640</x:v>
      </x:c>
      <x:c r="J173" s="22" t="n">
        <x:f>I173/$N$5</x:f>
        <x:v>0.0002</x:v>
      </x:c>
      <x:c r="K173" s="18" t="n">
        <x:f>MAX(INDEX($I$6:$K$11,MATCH(A173,$H$6:$H$11,0),MATCH(B173&amp;"連線",$I$5:$K$5,0)),IF(C173&gt;=3,INDEX($I$6:$K$11,MATCH("W",$H$6:$H$11,0),MATCH(C173&amp;"連線",$I$5:$K$5,0)),0))</x:f>
        <x:v>75</x:v>
      </x:c>
      <x:c r="L173" s="22" t="n">
        <x:f>J173*K173</x:f>
        <x:v>0.015000000000000001</x:v>
      </x:c>
      <x:c r="M173" s="18" t="str">
        <x:f>IF(K173&gt;INDEX($I$6:$K$11,MATCH(A173,$H$6:$H$11,0),MATCH(B173&amp;"連線",$I$5:$K$5,0)),"取 Wild 連線較高賠率","取一般圖案連線賠率")</x:f>
        <x:v>取一般圖案連線賠率</x:v>
      </x:c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 t="str">
        <x:v>J</x:v>
      </x:c>
      <x:c r="B174" s="18" t="n">
        <x:v>5</x:v>
      </x:c>
      <x:c r="C174" s="18" t="n">
        <x:f>IF(D174&lt;&gt;"W",0,IF(E174&lt;&gt;"W",1,IF(F174&lt;&gt;"W",2,IF(G174&lt;&gt;"W",3,IF(H174&lt;&gt;"W",4,5)))))</x:f>
        <x:v>2</x:v>
      </x:c>
      <x:c r="D174" s="18" t="str">
        <x:v>W</x:v>
      </x:c>
      <x:c r="E174" s="18" t="str">
        <x:v>W</x:v>
      </x:c>
      <x:c r="F174" s="18" t="str">
        <x:v>J</x:v>
      </x:c>
      <x:c r="G174" s="18" t="str">
        <x:v>J</x:v>
      </x:c>
      <x:c r="H174" s="18" t="str">
        <x:v>J</x:v>
      </x:c>
      <x:c r="I174" s="21" t="n">
        <x:f>PRODUCT(VLOOKUP(D174,$A$29:$F$42,2,FALSE),VLOOKUP(E174,$A$29:$F$42,3,FALSE),VLOOKUP(F174,$A$29:$F$42,4,FALSE),VLOOKUP(G174,$A$29:$F$42,5,FALSE),VLOOKUP(H174,$A$29:$F$42,6,FALSE))</x:f>
        <x:v>256</x:v>
      </x:c>
      <x:c r="J174" s="22" t="n">
        <x:f>I174/$N$5</x:f>
        <x:v>0.00008</x:v>
      </x:c>
      <x:c r="K174" s="18" t="n">
        <x:f>MAX(INDEX($I$6:$K$11,MATCH(A174,$H$6:$H$11,0),MATCH(B174&amp;"連線",$I$5:$K$5,0)),IF(C174&gt;=3,INDEX($I$6:$K$11,MATCH("W",$H$6:$H$11,0),MATCH(C174&amp;"連線",$I$5:$K$5,0)),0))</x:f>
        <x:v>75</x:v>
      </x:c>
      <x:c r="L174" s="22" t="n">
        <x:f>J174*K174</x:f>
        <x:v>0.006</x:v>
      </x:c>
      <x:c r="M174" s="18" t="str">
        <x:f>IF(K174&gt;INDEX($I$6:$K$11,MATCH(A174,$H$6:$H$11,0),MATCH(B174&amp;"連線",$I$5:$K$5,0)),"取 Wild 連線較高賠率","取一般圖案連線賠率")</x:f>
        <x:v>取一般圖案連線賠率</x:v>
      </x:c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 t="str">
        <x:v>J</x:v>
      </x:c>
      <x:c r="B175" s="18" t="n">
        <x:v>5</x:v>
      </x:c>
      <x:c r="C175" s="18" t="n">
        <x:f>IF(D175&lt;&gt;"W",0,IF(E175&lt;&gt;"W",1,IF(F175&lt;&gt;"W",2,IF(G175&lt;&gt;"W",3,IF(H175&lt;&gt;"W",4,5)))))</x:f>
        <x:v>1</x:v>
      </x:c>
      <x:c r="D175" s="18" t="str">
        <x:v>W</x:v>
      </x:c>
      <x:c r="E175" s="18" t="str">
        <x:v>J</x:v>
      </x:c>
      <x:c r="F175" s="18" t="str">
        <x:v>W</x:v>
      </x:c>
      <x:c r="G175" s="18" t="str">
        <x:v>J</x:v>
      </x:c>
      <x:c r="H175" s="18" t="str">
        <x:v>J</x:v>
      </x:c>
      <x:c r="I175" s="21" t="n">
        <x:f>PRODUCT(VLOOKUP(D175,$A$29:$F$42,2,FALSE),VLOOKUP(E175,$A$29:$F$42,3,FALSE),VLOOKUP(F175,$A$29:$F$42,4,FALSE),VLOOKUP(G175,$A$29:$F$42,5,FALSE),VLOOKUP(H175,$A$29:$F$42,6,FALSE))</x:f>
        <x:v>320</x:v>
      </x:c>
      <x:c r="J175" s="22" t="n">
        <x:f>I175/$N$5</x:f>
        <x:v>0.0001</x:v>
      </x:c>
      <x:c r="K175" s="18" t="n">
        <x:f>MAX(INDEX($I$6:$K$11,MATCH(A175,$H$6:$H$11,0),MATCH(B175&amp;"連線",$I$5:$K$5,0)),IF(C175&gt;=3,INDEX($I$6:$K$11,MATCH("W",$H$6:$H$11,0),MATCH(C175&amp;"連線",$I$5:$K$5,0)),0))</x:f>
        <x:v>75</x:v>
      </x:c>
      <x:c r="L175" s="22" t="n">
        <x:f>J175*K175</x:f>
        <x:v>0.007500000000000001</x:v>
      </x:c>
      <x:c r="M175" s="18" t="str">
        <x:f>IF(K175&gt;INDEX($I$6:$K$11,MATCH(A175,$H$6:$H$11,0),MATCH(B175&amp;"連線",$I$5:$K$5,0)),"取 Wild 連線較高賠率","取一般圖案連線賠率")</x:f>
        <x:v>取一般圖案連線賠率</x:v>
      </x:c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 t="str">
        <x:v>J</x:v>
      </x:c>
      <x:c r="B176" s="18" t="n">
        <x:v>5</x:v>
      </x:c>
      <x:c r="C176" s="18" t="n">
        <x:f>IF(D176&lt;&gt;"W",0,IF(E176&lt;&gt;"W",1,IF(F176&lt;&gt;"W",2,IF(G176&lt;&gt;"W",3,IF(H176&lt;&gt;"W",4,5)))))</x:f>
        <x:v>1</x:v>
      </x:c>
      <x:c r="D176" s="18" t="str">
        <x:v>W</x:v>
      </x:c>
      <x:c r="E176" s="18" t="str">
        <x:v>J</x:v>
      </x:c>
      <x:c r="F176" s="18" t="str">
        <x:v>J</x:v>
      </x:c>
      <x:c r="G176" s="18" t="str">
        <x:v>W</x:v>
      </x:c>
      <x:c r="H176" s="18" t="str">
        <x:v>J</x:v>
      </x:c>
      <x:c r="I176" s="21" t="n">
        <x:f>PRODUCT(VLOOKUP(D176,$A$29:$F$42,2,FALSE),VLOOKUP(E176,$A$29:$F$42,3,FALSE),VLOOKUP(F176,$A$29:$F$42,4,FALSE),VLOOKUP(G176,$A$29:$F$42,5,FALSE),VLOOKUP(H176,$A$29:$F$42,6,FALSE))</x:f>
        <x:v>320</x:v>
      </x:c>
      <x:c r="J176" s="22" t="n">
        <x:f>I176/$N$5</x:f>
        <x:v>0.0001</x:v>
      </x:c>
      <x:c r="K176" s="18" t="n">
        <x:f>MAX(INDEX($I$6:$K$11,MATCH(A176,$H$6:$H$11,0),MATCH(B176&amp;"連線",$I$5:$K$5,0)),IF(C176&gt;=3,INDEX($I$6:$K$11,MATCH("W",$H$6:$H$11,0),MATCH(C176&amp;"連線",$I$5:$K$5,0)),0))</x:f>
        <x:v>75</x:v>
      </x:c>
      <x:c r="L176" s="22" t="n">
        <x:f>J176*K176</x:f>
        <x:v>0.007500000000000001</x:v>
      </x:c>
      <x:c r="M176" s="18" t="str">
        <x:f>IF(K176&gt;INDEX($I$6:$K$11,MATCH(A176,$H$6:$H$11,0),MATCH(B176&amp;"連線",$I$5:$K$5,0)),"取 Wild 連線較高賠率","取一般圖案連線賠率")</x:f>
        <x:v>取一般圖案連線賠率</x:v>
      </x:c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 t="str">
        <x:v>J</x:v>
      </x:c>
      <x:c r="B177" s="18" t="n">
        <x:v>5</x:v>
      </x:c>
      <x:c r="C177" s="18" t="n">
        <x:f>IF(D177&lt;&gt;"W",0,IF(E177&lt;&gt;"W",1,IF(F177&lt;&gt;"W",2,IF(G177&lt;&gt;"W",3,IF(H177&lt;&gt;"W",4,5)))))</x:f>
        <x:v>1</x:v>
      </x:c>
      <x:c r="D177" s="18" t="str">
        <x:v>W</x:v>
      </x:c>
      <x:c r="E177" s="18" t="str">
        <x:v>J</x:v>
      </x:c>
      <x:c r="F177" s="18" t="str">
        <x:v>J</x:v>
      </x:c>
      <x:c r="G177" s="18" t="str">
        <x:v>J</x:v>
      </x:c>
      <x:c r="H177" s="18" t="str">
        <x:v>W</x:v>
      </x:c>
      <x:c r="I177" s="21" t="n">
        <x:f>PRODUCT(VLOOKUP(D177,$A$29:$F$42,2,FALSE),VLOOKUP(E177,$A$29:$F$42,3,FALSE),VLOOKUP(F177,$A$29:$F$42,4,FALSE),VLOOKUP(G177,$A$29:$F$42,5,FALSE),VLOOKUP(H177,$A$29:$F$42,6,FALSE))</x:f>
        <x:v>320</x:v>
      </x:c>
      <x:c r="J177" s="22" t="n">
        <x:f>I177/$N$5</x:f>
        <x:v>0.0001</x:v>
      </x:c>
      <x:c r="K177" s="18" t="n">
        <x:f>MAX(INDEX($I$6:$K$11,MATCH(A177,$H$6:$H$11,0),MATCH(B177&amp;"連線",$I$5:$K$5,0)),IF(C177&gt;=3,INDEX($I$6:$K$11,MATCH("W",$H$6:$H$11,0),MATCH(C177&amp;"連線",$I$5:$K$5,0)),0))</x:f>
        <x:v>75</x:v>
      </x:c>
      <x:c r="L177" s="22" t="n">
        <x:f>J177*K177</x:f>
        <x:v>0.007500000000000001</x:v>
      </x:c>
      <x:c r="M177" s="18" t="str">
        <x:f>IF(K177&gt;INDEX($I$6:$K$11,MATCH(A177,$H$6:$H$11,0),MATCH(B177&amp;"連線",$I$5:$K$5,0)),"取 Wild 連線較高賠率","取一般圖案連線賠率")</x:f>
        <x:v>取一般圖案連線賠率</x:v>
      </x:c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 t="str">
        <x:v>J</x:v>
      </x:c>
      <x:c r="B178" s="18" t="n">
        <x:v>5</x:v>
      </x:c>
      <x:c r="C178" s="18" t="n">
        <x:f>IF(D178&lt;&gt;"W",0,IF(E178&lt;&gt;"W",1,IF(F178&lt;&gt;"W",2,IF(G178&lt;&gt;"W",3,IF(H178&lt;&gt;"W",4,5)))))</x:f>
        <x:v>0</x:v>
      </x:c>
      <x:c r="D178" s="18" t="str">
        <x:v>J</x:v>
      </x:c>
      <x:c r="E178" s="18" t="str">
        <x:v>W</x:v>
      </x:c>
      <x:c r="F178" s="18" t="str">
        <x:v>W</x:v>
      </x:c>
      <x:c r="G178" s="18" t="str">
        <x:v>J</x:v>
      </x:c>
      <x:c r="H178" s="18" t="str">
        <x:v>J</x:v>
      </x:c>
      <x:c r="I178" s="21" t="n">
        <x:f>PRODUCT(VLOOKUP(D178,$A$29:$F$42,2,FALSE),VLOOKUP(E178,$A$29:$F$42,3,FALSE),VLOOKUP(F178,$A$29:$F$42,4,FALSE),VLOOKUP(G178,$A$29:$F$42,5,FALSE),VLOOKUP(H178,$A$29:$F$42,6,FALSE))</x:f>
        <x:v>256</x:v>
      </x:c>
      <x:c r="J178" s="22" t="n">
        <x:f>I178/$N$5</x:f>
        <x:v>0.00008</x:v>
      </x:c>
      <x:c r="K178" s="18" t="n">
        <x:f>MAX(INDEX($I$6:$K$11,MATCH(A178,$H$6:$H$11,0),MATCH(B178&amp;"連線",$I$5:$K$5,0)),IF(C178&gt;=3,INDEX($I$6:$K$11,MATCH("W",$H$6:$H$11,0),MATCH(C178&amp;"連線",$I$5:$K$5,0)),0))</x:f>
        <x:v>75</x:v>
      </x:c>
      <x:c r="L178" s="22" t="n">
        <x:f>J178*K178</x:f>
        <x:v>0.006</x:v>
      </x:c>
      <x:c r="M178" s="18" t="str">
        <x:f>IF(K178&gt;INDEX($I$6:$K$11,MATCH(A178,$H$6:$H$11,0),MATCH(B178&amp;"連線",$I$5:$K$5,0)),"取 Wild 連線較高賠率","取一般圖案連線賠率")</x:f>
        <x:v>取一般圖案連線賠率</x:v>
      </x:c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 t="str">
        <x:v>J</x:v>
      </x:c>
      <x:c r="B179" s="18" t="n">
        <x:v>5</x:v>
      </x:c>
      <x:c r="C179" s="18" t="n">
        <x:f>IF(D179&lt;&gt;"W",0,IF(E179&lt;&gt;"W",1,IF(F179&lt;&gt;"W",2,IF(G179&lt;&gt;"W",3,IF(H179&lt;&gt;"W",4,5)))))</x:f>
        <x:v>0</x:v>
      </x:c>
      <x:c r="D179" s="18" t="str">
        <x:v>J</x:v>
      </x:c>
      <x:c r="E179" s="18" t="str">
        <x:v>W</x:v>
      </x:c>
      <x:c r="F179" s="18" t="str">
        <x:v>J</x:v>
      </x:c>
      <x:c r="G179" s="18" t="str">
        <x:v>W</x:v>
      </x:c>
      <x:c r="H179" s="18" t="str">
        <x:v>J</x:v>
      </x:c>
      <x:c r="I179" s="21" t="n">
        <x:f>PRODUCT(VLOOKUP(D179,$A$29:$F$42,2,FALSE),VLOOKUP(E179,$A$29:$F$42,3,FALSE),VLOOKUP(F179,$A$29:$F$42,4,FALSE),VLOOKUP(G179,$A$29:$F$42,5,FALSE),VLOOKUP(H179,$A$29:$F$42,6,FALSE))</x:f>
        <x:v>256</x:v>
      </x:c>
      <x:c r="J179" s="22" t="n">
        <x:f>I179/$N$5</x:f>
        <x:v>0.00008</x:v>
      </x:c>
      <x:c r="K179" s="18" t="n">
        <x:f>MAX(INDEX($I$6:$K$11,MATCH(A179,$H$6:$H$11,0),MATCH(B179&amp;"連線",$I$5:$K$5,0)),IF(C179&gt;=3,INDEX($I$6:$K$11,MATCH("W",$H$6:$H$11,0),MATCH(C179&amp;"連線",$I$5:$K$5,0)),0))</x:f>
        <x:v>75</x:v>
      </x:c>
      <x:c r="L179" s="22" t="n">
        <x:f>J179*K179</x:f>
        <x:v>0.006</x:v>
      </x:c>
      <x:c r="M179" s="18" t="str">
        <x:f>IF(K179&gt;INDEX($I$6:$K$11,MATCH(A179,$H$6:$H$11,0),MATCH(B179&amp;"連線",$I$5:$K$5,0)),"取 Wild 連線較高賠率","取一般圖案連線賠率")</x:f>
        <x:v>取一般圖案連線賠率</x:v>
      </x:c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 t="str">
        <x:v>J</x:v>
      </x:c>
      <x:c r="B180" s="18" t="n">
        <x:v>5</x:v>
      </x:c>
      <x:c r="C180" s="18" t="n">
        <x:f>IF(D180&lt;&gt;"W",0,IF(E180&lt;&gt;"W",1,IF(F180&lt;&gt;"W",2,IF(G180&lt;&gt;"W",3,IF(H180&lt;&gt;"W",4,5)))))</x:f>
        <x:v>0</x:v>
      </x:c>
      <x:c r="D180" s="18" t="str">
        <x:v>J</x:v>
      </x:c>
      <x:c r="E180" s="18" t="str">
        <x:v>W</x:v>
      </x:c>
      <x:c r="F180" s="18" t="str">
        <x:v>J</x:v>
      </x:c>
      <x:c r="G180" s="18" t="str">
        <x:v>J</x:v>
      </x:c>
      <x:c r="H180" s="18" t="str">
        <x:v>W</x:v>
      </x:c>
      <x:c r="I180" s="21" t="n">
        <x:f>PRODUCT(VLOOKUP(D180,$A$29:$F$42,2,FALSE),VLOOKUP(E180,$A$29:$F$42,3,FALSE),VLOOKUP(F180,$A$29:$F$42,4,FALSE),VLOOKUP(G180,$A$29:$F$42,5,FALSE),VLOOKUP(H180,$A$29:$F$42,6,FALSE))</x:f>
        <x:v>256</x:v>
      </x:c>
      <x:c r="J180" s="22" t="n">
        <x:f>I180/$N$5</x:f>
        <x:v>0.00008</x:v>
      </x:c>
      <x:c r="K180" s="18" t="n">
        <x:f>MAX(INDEX($I$6:$K$11,MATCH(A180,$H$6:$H$11,0),MATCH(B180&amp;"連線",$I$5:$K$5,0)),IF(C180&gt;=3,INDEX($I$6:$K$11,MATCH("W",$H$6:$H$11,0),MATCH(C180&amp;"連線",$I$5:$K$5,0)),0))</x:f>
        <x:v>75</x:v>
      </x:c>
      <x:c r="L180" s="22" t="n">
        <x:f>J180*K180</x:f>
        <x:v>0.006</x:v>
      </x:c>
      <x:c r="M180" s="18" t="str">
        <x:f>IF(K180&gt;INDEX($I$6:$K$11,MATCH(A180,$H$6:$H$11,0),MATCH(B180&amp;"連線",$I$5:$K$5,0)),"取 Wild 連線較高賠率","取一般圖案連線賠率")</x:f>
        <x:v>取一般圖案連線賠率</x:v>
      </x:c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 t="str">
        <x:v>J</x:v>
      </x:c>
      <x:c r="B181" s="18" t="n">
        <x:v>5</x:v>
      </x:c>
      <x:c r="C181" s="18" t="n">
        <x:f>IF(D181&lt;&gt;"W",0,IF(E181&lt;&gt;"W",1,IF(F181&lt;&gt;"W",2,IF(G181&lt;&gt;"W",3,IF(H181&lt;&gt;"W",4,5)))))</x:f>
        <x:v>0</x:v>
      </x:c>
      <x:c r="D181" s="18" t="str">
        <x:v>J</x:v>
      </x:c>
      <x:c r="E181" s="18" t="str">
        <x:v>J</x:v>
      </x:c>
      <x:c r="F181" s="18" t="str">
        <x:v>W</x:v>
      </x:c>
      <x:c r="G181" s="18" t="str">
        <x:v>W</x:v>
      </x:c>
      <x:c r="H181" s="18" t="str">
        <x:v>J</x:v>
      </x:c>
      <x:c r="I181" s="21" t="n">
        <x:f>PRODUCT(VLOOKUP(D181,$A$29:$F$42,2,FALSE),VLOOKUP(E181,$A$29:$F$42,3,FALSE),VLOOKUP(F181,$A$29:$F$42,4,FALSE),VLOOKUP(G181,$A$29:$F$42,5,FALSE),VLOOKUP(H181,$A$29:$F$42,6,FALSE))</x:f>
        <x:v>320</x:v>
      </x:c>
      <x:c r="J181" s="22" t="n">
        <x:f>I181/$N$5</x:f>
        <x:v>0.0001</x:v>
      </x:c>
      <x:c r="K181" s="18" t="n">
        <x:f>MAX(INDEX($I$6:$K$11,MATCH(A181,$H$6:$H$11,0),MATCH(B181&amp;"連線",$I$5:$K$5,0)),IF(C181&gt;=3,INDEX($I$6:$K$11,MATCH("W",$H$6:$H$11,0),MATCH(C181&amp;"連線",$I$5:$K$5,0)),0))</x:f>
        <x:v>75</x:v>
      </x:c>
      <x:c r="L181" s="22" t="n">
        <x:f>J181*K181</x:f>
        <x:v>0.007500000000000001</x:v>
      </x:c>
      <x:c r="M181" s="18" t="str">
        <x:f>IF(K181&gt;INDEX($I$6:$K$11,MATCH(A181,$H$6:$H$11,0),MATCH(B181&amp;"連線",$I$5:$K$5,0)),"取 Wild 連線較高賠率","取一般圖案連線賠率")</x:f>
        <x:v>取一般圖案連線賠率</x:v>
      </x:c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 t="str">
        <x:v>J</x:v>
      </x:c>
      <x:c r="B182" s="18" t="n">
        <x:v>5</x:v>
      </x:c>
      <x:c r="C182" s="18" t="n">
        <x:f>IF(D182&lt;&gt;"W",0,IF(E182&lt;&gt;"W",1,IF(F182&lt;&gt;"W",2,IF(G182&lt;&gt;"W",3,IF(H182&lt;&gt;"W",4,5)))))</x:f>
        <x:v>0</x:v>
      </x:c>
      <x:c r="D182" s="18" t="str">
        <x:v>J</x:v>
      </x:c>
      <x:c r="E182" s="18" t="str">
        <x:v>J</x:v>
      </x:c>
      <x:c r="F182" s="18" t="str">
        <x:v>W</x:v>
      </x:c>
      <x:c r="G182" s="18" t="str">
        <x:v>J</x:v>
      </x:c>
      <x:c r="H182" s="18" t="str">
        <x:v>W</x:v>
      </x:c>
      <x:c r="I182" s="21" t="n">
        <x:f>PRODUCT(VLOOKUP(D182,$A$29:$F$42,2,FALSE),VLOOKUP(E182,$A$29:$F$42,3,FALSE),VLOOKUP(F182,$A$29:$F$42,4,FALSE),VLOOKUP(G182,$A$29:$F$42,5,FALSE),VLOOKUP(H182,$A$29:$F$42,6,FALSE))</x:f>
        <x:v>320</x:v>
      </x:c>
      <x:c r="J182" s="22" t="n">
        <x:f>I182/$N$5</x:f>
        <x:v>0.0001</x:v>
      </x:c>
      <x:c r="K182" s="18" t="n">
        <x:f>MAX(INDEX($I$6:$K$11,MATCH(A182,$H$6:$H$11,0),MATCH(B182&amp;"連線",$I$5:$K$5,0)),IF(C182&gt;=3,INDEX($I$6:$K$11,MATCH("W",$H$6:$H$11,0),MATCH(C182&amp;"連線",$I$5:$K$5,0)),0))</x:f>
        <x:v>75</x:v>
      </x:c>
      <x:c r="L182" s="22" t="n">
        <x:f>J182*K182</x:f>
        <x:v>0.007500000000000001</x:v>
      </x:c>
      <x:c r="M182" s="18" t="str">
        <x:f>IF(K182&gt;INDEX($I$6:$K$11,MATCH(A182,$H$6:$H$11,0),MATCH(B182&amp;"連線",$I$5:$K$5,0)),"取 Wild 連線較高賠率","取一般圖案連線賠率")</x:f>
        <x:v>取一般圖案連線賠率</x:v>
      </x:c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 t="str">
        <x:v>J</x:v>
      </x:c>
      <x:c r="B183" s="18" t="n">
        <x:v>5</x:v>
      </x:c>
      <x:c r="C183" s="18" t="n">
        <x:f>IF(D183&lt;&gt;"W",0,IF(E183&lt;&gt;"W",1,IF(F183&lt;&gt;"W",2,IF(G183&lt;&gt;"W",3,IF(H183&lt;&gt;"W",4,5)))))</x:f>
        <x:v>0</x:v>
      </x:c>
      <x:c r="D183" s="18" t="str">
        <x:v>J</x:v>
      </x:c>
      <x:c r="E183" s="18" t="str">
        <x:v>J</x:v>
      </x:c>
      <x:c r="F183" s="18" t="str">
        <x:v>J</x:v>
      </x:c>
      <x:c r="G183" s="18" t="str">
        <x:v>W</x:v>
      </x:c>
      <x:c r="H183" s="18" t="str">
        <x:v>W</x:v>
      </x:c>
      <x:c r="I183" s="21" t="n">
        <x:f>PRODUCT(VLOOKUP(D183,$A$29:$F$42,2,FALSE),VLOOKUP(E183,$A$29:$F$42,3,FALSE),VLOOKUP(F183,$A$29:$F$42,4,FALSE),VLOOKUP(G183,$A$29:$F$42,5,FALSE),VLOOKUP(H183,$A$29:$F$42,6,FALSE))</x:f>
        <x:v>320</x:v>
      </x:c>
      <x:c r="J183" s="22" t="n">
        <x:f>I183/$N$5</x:f>
        <x:v>0.0001</x:v>
      </x:c>
      <x:c r="K183" s="18" t="n">
        <x:f>MAX(INDEX($I$6:$K$11,MATCH(A183,$H$6:$H$11,0),MATCH(B183&amp;"連線",$I$5:$K$5,0)),IF(C183&gt;=3,INDEX($I$6:$K$11,MATCH("W",$H$6:$H$11,0),MATCH(C183&amp;"連線",$I$5:$K$5,0)),0))</x:f>
        <x:v>75</x:v>
      </x:c>
      <x:c r="L183" s="22" t="n">
        <x:f>J183*K183</x:f>
        <x:v>0.007500000000000001</x:v>
      </x:c>
      <x:c r="M183" s="18" t="str">
        <x:f>IF(K183&gt;INDEX($I$6:$K$11,MATCH(A183,$H$6:$H$11,0),MATCH(B183&amp;"連線",$I$5:$K$5,0)),"取 Wild 連線較高賠率","取一般圖案連線賠率")</x:f>
        <x:v>取一般圖案連線賠率</x:v>
      </x:c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 t="str">
        <x:v>J</x:v>
      </x:c>
      <x:c r="B184" s="18" t="n">
        <x:v>5</x:v>
      </x:c>
      <x:c r="C184" s="18" t="n">
        <x:f>IF(D184&lt;&gt;"W",0,IF(E184&lt;&gt;"W",1,IF(F184&lt;&gt;"W",2,IF(G184&lt;&gt;"W",3,IF(H184&lt;&gt;"W",4,5)))))</x:f>
        <x:v>3</x:v>
      </x:c>
      <x:c r="D184" s="18" t="str">
        <x:v>W</x:v>
      </x:c>
      <x:c r="E184" s="18" t="str">
        <x:v>W</x:v>
      </x:c>
      <x:c r="F184" s="18" t="str">
        <x:v>W</x:v>
      </x:c>
      <x:c r="G184" s="18" t="str">
        <x:v>J</x:v>
      </x:c>
      <x:c r="H184" s="18" t="str">
        <x:v>J</x:v>
      </x:c>
      <x:c r="I184" s="21" t="n">
        <x:f>PRODUCT(VLOOKUP(D184,$A$29:$F$42,2,FALSE),VLOOKUP(E184,$A$29:$F$42,3,FALSE),VLOOKUP(F184,$A$29:$F$42,4,FALSE),VLOOKUP(G184,$A$29:$F$42,5,FALSE),VLOOKUP(H184,$A$29:$F$42,6,FALSE))</x:f>
        <x:v>128</x:v>
      </x:c>
      <x:c r="J184" s="22" t="n">
        <x:f>I184/$N$5</x:f>
        <x:v>0.00004</x:v>
      </x:c>
      <x:c r="K184" s="18" t="n">
        <x:f>MAX(INDEX($I$6:$K$11,MATCH(A184,$H$6:$H$11,0),MATCH(B184&amp;"連線",$I$5:$K$5,0)),IF(C184&gt;=3,INDEX($I$6:$K$11,MATCH("W",$H$6:$H$11,0),MATCH(C184&amp;"連線",$I$5:$K$5,0)),0))</x:f>
        <x:v>150</x:v>
      </x:c>
      <x:c r="L184" s="22" t="n">
        <x:f>J184*K184</x:f>
        <x:v>0.006</x:v>
      </x:c>
      <x:c r="M184" s="18" t="str">
        <x:f>IF(K184&gt;INDEX($I$6:$K$11,MATCH(A184,$H$6:$H$11,0),MATCH(B184&amp;"連線",$I$5:$K$5,0)),"取 Wild 連線較高賠率","取一般圖案連線賠率")</x:f>
        <x:v>取 Wild 連線較高賠率</x:v>
      </x:c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 t="str">
        <x:v>J</x:v>
      </x:c>
      <x:c r="B185" s="18" t="n">
        <x:v>5</x:v>
      </x:c>
      <x:c r="C185" s="18" t="n">
        <x:f>IF(D185&lt;&gt;"W",0,IF(E185&lt;&gt;"W",1,IF(F185&lt;&gt;"W",2,IF(G185&lt;&gt;"W",3,IF(H185&lt;&gt;"W",4,5)))))</x:f>
        <x:v>2</x:v>
      </x:c>
      <x:c r="D185" s="18" t="str">
        <x:v>W</x:v>
      </x:c>
      <x:c r="E185" s="18" t="str">
        <x:v>W</x:v>
      </x:c>
      <x:c r="F185" s="18" t="str">
        <x:v>J</x:v>
      </x:c>
      <x:c r="G185" s="18" t="str">
        <x:v>W</x:v>
      </x:c>
      <x:c r="H185" s="18" t="str">
        <x:v>J</x:v>
      </x:c>
      <x:c r="I185" s="21" t="n">
        <x:f>PRODUCT(VLOOKUP(D185,$A$29:$F$42,2,FALSE),VLOOKUP(E185,$A$29:$F$42,3,FALSE),VLOOKUP(F185,$A$29:$F$42,4,FALSE),VLOOKUP(G185,$A$29:$F$42,5,FALSE),VLOOKUP(H185,$A$29:$F$42,6,FALSE))</x:f>
        <x:v>128</x:v>
      </x:c>
      <x:c r="J185" s="22" t="n">
        <x:f>I185/$N$5</x:f>
        <x:v>0.00004</x:v>
      </x:c>
      <x:c r="K185" s="18" t="n">
        <x:f>MAX(INDEX($I$6:$K$11,MATCH(A185,$H$6:$H$11,0),MATCH(B185&amp;"連線",$I$5:$K$5,0)),IF(C185&gt;=3,INDEX($I$6:$K$11,MATCH("W",$H$6:$H$11,0),MATCH(C185&amp;"連線",$I$5:$K$5,0)),0))</x:f>
        <x:v>75</x:v>
      </x:c>
      <x:c r="L185" s="22" t="n">
        <x:f>J185*K185</x:f>
        <x:v>0.003</x:v>
      </x:c>
      <x:c r="M185" s="18" t="str">
        <x:f>IF(K185&gt;INDEX($I$6:$K$11,MATCH(A185,$H$6:$H$11,0),MATCH(B185&amp;"連線",$I$5:$K$5,0)),"取 Wild 連線較高賠率","取一般圖案連線賠率")</x:f>
        <x:v>取一般圖案連線賠率</x:v>
      </x:c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 t="str">
        <x:v>J</x:v>
      </x:c>
      <x:c r="B186" s="18" t="n">
        <x:v>5</x:v>
      </x:c>
      <x:c r="C186" s="18" t="n">
        <x:f>IF(D186&lt;&gt;"W",0,IF(E186&lt;&gt;"W",1,IF(F186&lt;&gt;"W",2,IF(G186&lt;&gt;"W",3,IF(H186&lt;&gt;"W",4,5)))))</x:f>
        <x:v>2</x:v>
      </x:c>
      <x:c r="D186" s="18" t="str">
        <x:v>W</x:v>
      </x:c>
      <x:c r="E186" s="18" t="str">
        <x:v>W</x:v>
      </x:c>
      <x:c r="F186" s="18" t="str">
        <x:v>J</x:v>
      </x:c>
      <x:c r="G186" s="18" t="str">
        <x:v>J</x:v>
      </x:c>
      <x:c r="H186" s="18" t="str">
        <x:v>W</x:v>
      </x:c>
      <x:c r="I186" s="21" t="n">
        <x:f>PRODUCT(VLOOKUP(D186,$A$29:$F$42,2,FALSE),VLOOKUP(E186,$A$29:$F$42,3,FALSE),VLOOKUP(F186,$A$29:$F$42,4,FALSE),VLOOKUP(G186,$A$29:$F$42,5,FALSE),VLOOKUP(H186,$A$29:$F$42,6,FALSE))</x:f>
        <x:v>128</x:v>
      </x:c>
      <x:c r="J186" s="22" t="n">
        <x:f>I186/$N$5</x:f>
        <x:v>0.00004</x:v>
      </x:c>
      <x:c r="K186" s="18" t="n">
        <x:f>MAX(INDEX($I$6:$K$11,MATCH(A186,$H$6:$H$11,0),MATCH(B186&amp;"連線",$I$5:$K$5,0)),IF(C186&gt;=3,INDEX($I$6:$K$11,MATCH("W",$H$6:$H$11,0),MATCH(C186&amp;"連線",$I$5:$K$5,0)),0))</x:f>
        <x:v>75</x:v>
      </x:c>
      <x:c r="L186" s="22" t="n">
        <x:f>J186*K186</x:f>
        <x:v>0.003</x:v>
      </x:c>
      <x:c r="M186" s="18" t="str">
        <x:f>IF(K186&gt;INDEX($I$6:$K$11,MATCH(A186,$H$6:$H$11,0),MATCH(B186&amp;"連線",$I$5:$K$5,0)),"取 Wild 連線較高賠率","取一般圖案連線賠率")</x:f>
        <x:v>取一般圖案連線賠率</x:v>
      </x:c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 t="str">
        <x:v>J</x:v>
      </x:c>
      <x:c r="B187" s="18" t="n">
        <x:v>5</x:v>
      </x:c>
      <x:c r="C187" s="18" t="n">
        <x:f>IF(D187&lt;&gt;"W",0,IF(E187&lt;&gt;"W",1,IF(F187&lt;&gt;"W",2,IF(G187&lt;&gt;"W",3,IF(H187&lt;&gt;"W",4,5)))))</x:f>
        <x:v>1</x:v>
      </x:c>
      <x:c r="D187" s="18" t="str">
        <x:v>W</x:v>
      </x:c>
      <x:c r="E187" s="18" t="str">
        <x:v>J</x:v>
      </x:c>
      <x:c r="F187" s="18" t="str">
        <x:v>W</x:v>
      </x:c>
      <x:c r="G187" s="18" t="str">
        <x:v>W</x:v>
      </x:c>
      <x:c r="H187" s="18" t="str">
        <x:v>J</x:v>
      </x:c>
      <x:c r="I187" s="21" t="n">
        <x:f>PRODUCT(VLOOKUP(D187,$A$29:$F$42,2,FALSE),VLOOKUP(E187,$A$29:$F$42,3,FALSE),VLOOKUP(F187,$A$29:$F$42,4,FALSE),VLOOKUP(G187,$A$29:$F$42,5,FALSE),VLOOKUP(H187,$A$29:$F$42,6,FALSE))</x:f>
        <x:v>160</x:v>
      </x:c>
      <x:c r="J187" s="22" t="n">
        <x:f>I187/$N$5</x:f>
        <x:v>0.00005</x:v>
      </x:c>
      <x:c r="K187" s="18" t="n">
        <x:f>MAX(INDEX($I$6:$K$11,MATCH(A187,$H$6:$H$11,0),MATCH(B187&amp;"連線",$I$5:$K$5,0)),IF(C187&gt;=3,INDEX($I$6:$K$11,MATCH("W",$H$6:$H$11,0),MATCH(C187&amp;"連線",$I$5:$K$5,0)),0))</x:f>
        <x:v>75</x:v>
      </x:c>
      <x:c r="L187" s="22" t="n">
        <x:f>J187*K187</x:f>
        <x:v>0.0037500000000000003</x:v>
      </x:c>
      <x:c r="M187" s="18" t="str">
        <x:f>IF(K187&gt;INDEX($I$6:$K$11,MATCH(A187,$H$6:$H$11,0),MATCH(B187&amp;"連線",$I$5:$K$5,0)),"取 Wild 連線較高賠率","取一般圖案連線賠率")</x:f>
        <x:v>取一般圖案連線賠率</x:v>
      </x:c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 t="str">
        <x:v>J</x:v>
      </x:c>
      <x:c r="B188" s="18" t="n">
        <x:v>5</x:v>
      </x:c>
      <x:c r="C188" s="18" t="n">
        <x:f>IF(D188&lt;&gt;"W",0,IF(E188&lt;&gt;"W",1,IF(F188&lt;&gt;"W",2,IF(G188&lt;&gt;"W",3,IF(H188&lt;&gt;"W",4,5)))))</x:f>
        <x:v>1</x:v>
      </x:c>
      <x:c r="D188" s="18" t="str">
        <x:v>W</x:v>
      </x:c>
      <x:c r="E188" s="18" t="str">
        <x:v>J</x:v>
      </x:c>
      <x:c r="F188" s="18" t="str">
        <x:v>W</x:v>
      </x:c>
      <x:c r="G188" s="18" t="str">
        <x:v>J</x:v>
      </x:c>
      <x:c r="H188" s="18" t="str">
        <x:v>W</x:v>
      </x:c>
      <x:c r="I188" s="21" t="n">
        <x:f>PRODUCT(VLOOKUP(D188,$A$29:$F$42,2,FALSE),VLOOKUP(E188,$A$29:$F$42,3,FALSE),VLOOKUP(F188,$A$29:$F$42,4,FALSE),VLOOKUP(G188,$A$29:$F$42,5,FALSE),VLOOKUP(H188,$A$29:$F$42,6,FALSE))</x:f>
        <x:v>160</x:v>
      </x:c>
      <x:c r="J188" s="22" t="n">
        <x:f>I188/$N$5</x:f>
        <x:v>0.00005</x:v>
      </x:c>
      <x:c r="K188" s="18" t="n">
        <x:f>MAX(INDEX($I$6:$K$11,MATCH(A188,$H$6:$H$11,0),MATCH(B188&amp;"連線",$I$5:$K$5,0)),IF(C188&gt;=3,INDEX($I$6:$K$11,MATCH("W",$H$6:$H$11,0),MATCH(C188&amp;"連線",$I$5:$K$5,0)),0))</x:f>
        <x:v>75</x:v>
      </x:c>
      <x:c r="L188" s="22" t="n">
        <x:f>J188*K188</x:f>
        <x:v>0.0037500000000000003</x:v>
      </x:c>
      <x:c r="M188" s="18" t="str">
        <x:f>IF(K188&gt;INDEX($I$6:$K$11,MATCH(A188,$H$6:$H$11,0),MATCH(B188&amp;"連線",$I$5:$K$5,0)),"取 Wild 連線較高賠率","取一般圖案連線賠率")</x:f>
        <x:v>取一般圖案連線賠率</x:v>
      </x:c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 t="str">
        <x:v>J</x:v>
      </x:c>
      <x:c r="B189" s="18" t="n">
        <x:v>5</x:v>
      </x:c>
      <x:c r="C189" s="18" t="n">
        <x:f>IF(D189&lt;&gt;"W",0,IF(E189&lt;&gt;"W",1,IF(F189&lt;&gt;"W",2,IF(G189&lt;&gt;"W",3,IF(H189&lt;&gt;"W",4,5)))))</x:f>
        <x:v>1</x:v>
      </x:c>
      <x:c r="D189" s="18" t="str">
        <x:v>W</x:v>
      </x:c>
      <x:c r="E189" s="18" t="str">
        <x:v>J</x:v>
      </x:c>
      <x:c r="F189" s="18" t="str">
        <x:v>J</x:v>
      </x:c>
      <x:c r="G189" s="18" t="str">
        <x:v>W</x:v>
      </x:c>
      <x:c r="H189" s="18" t="str">
        <x:v>W</x:v>
      </x:c>
      <x:c r="I189" s="21" t="n">
        <x:f>PRODUCT(VLOOKUP(D189,$A$29:$F$42,2,FALSE),VLOOKUP(E189,$A$29:$F$42,3,FALSE),VLOOKUP(F189,$A$29:$F$42,4,FALSE),VLOOKUP(G189,$A$29:$F$42,5,FALSE),VLOOKUP(H189,$A$29:$F$42,6,FALSE))</x:f>
        <x:v>160</x:v>
      </x:c>
      <x:c r="J189" s="22" t="n">
        <x:f>I189/$N$5</x:f>
        <x:v>0.00005</x:v>
      </x:c>
      <x:c r="K189" s="18" t="n">
        <x:f>MAX(INDEX($I$6:$K$11,MATCH(A189,$H$6:$H$11,0),MATCH(B189&amp;"連線",$I$5:$K$5,0)),IF(C189&gt;=3,INDEX($I$6:$K$11,MATCH("W",$H$6:$H$11,0),MATCH(C189&amp;"連線",$I$5:$K$5,0)),0))</x:f>
        <x:v>75</x:v>
      </x:c>
      <x:c r="L189" s="22" t="n">
        <x:f>J189*K189</x:f>
        <x:v>0.0037500000000000003</x:v>
      </x:c>
      <x:c r="M189" s="18" t="str">
        <x:f>IF(K189&gt;INDEX($I$6:$K$11,MATCH(A189,$H$6:$H$11,0),MATCH(B189&amp;"連線",$I$5:$K$5,0)),"取 Wild 連線較高賠率","取一般圖案連線賠率")</x:f>
        <x:v>取一般圖案連線賠率</x:v>
      </x:c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 t="str">
        <x:v>J</x:v>
      </x:c>
      <x:c r="B190" s="18" t="n">
        <x:v>5</x:v>
      </x:c>
      <x:c r="C190" s="18" t="n">
        <x:f>IF(D190&lt;&gt;"W",0,IF(E190&lt;&gt;"W",1,IF(F190&lt;&gt;"W",2,IF(G190&lt;&gt;"W",3,IF(H190&lt;&gt;"W",4,5)))))</x:f>
        <x:v>0</x:v>
      </x:c>
      <x:c r="D190" s="18" t="str">
        <x:v>J</x:v>
      </x:c>
      <x:c r="E190" s="18" t="str">
        <x:v>W</x:v>
      </x:c>
      <x:c r="F190" s="18" t="str">
        <x:v>W</x:v>
      </x:c>
      <x:c r="G190" s="18" t="str">
        <x:v>W</x:v>
      </x:c>
      <x:c r="H190" s="18" t="str">
        <x:v>J</x:v>
      </x:c>
      <x:c r="I190" s="21" t="n">
        <x:f>PRODUCT(VLOOKUP(D190,$A$29:$F$42,2,FALSE),VLOOKUP(E190,$A$29:$F$42,3,FALSE),VLOOKUP(F190,$A$29:$F$42,4,FALSE),VLOOKUP(G190,$A$29:$F$42,5,FALSE),VLOOKUP(H190,$A$29:$F$42,6,FALSE))</x:f>
        <x:v>128</x:v>
      </x:c>
      <x:c r="J190" s="22" t="n">
        <x:f>I190/$N$5</x:f>
        <x:v>0.00004</x:v>
      </x:c>
      <x:c r="K190" s="18" t="n">
        <x:f>MAX(INDEX($I$6:$K$11,MATCH(A190,$H$6:$H$11,0),MATCH(B190&amp;"連線",$I$5:$K$5,0)),IF(C190&gt;=3,INDEX($I$6:$K$11,MATCH("W",$H$6:$H$11,0),MATCH(C190&amp;"連線",$I$5:$K$5,0)),0))</x:f>
        <x:v>75</x:v>
      </x:c>
      <x:c r="L190" s="22" t="n">
        <x:f>J190*K190</x:f>
        <x:v>0.003</x:v>
      </x:c>
      <x:c r="M190" s="18" t="str">
        <x:f>IF(K190&gt;INDEX($I$6:$K$11,MATCH(A190,$H$6:$H$11,0),MATCH(B190&amp;"連線",$I$5:$K$5,0)),"取 Wild 連線較高賠率","取一般圖案連線賠率")</x:f>
        <x:v>取一般圖案連線賠率</x:v>
      </x:c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 t="str">
        <x:v>J</x:v>
      </x:c>
      <x:c r="B191" s="18" t="n">
        <x:v>5</x:v>
      </x:c>
      <x:c r="C191" s="18" t="n">
        <x:f>IF(D191&lt;&gt;"W",0,IF(E191&lt;&gt;"W",1,IF(F191&lt;&gt;"W",2,IF(G191&lt;&gt;"W",3,IF(H191&lt;&gt;"W",4,5)))))</x:f>
        <x:v>0</x:v>
      </x:c>
      <x:c r="D191" s="18" t="str">
        <x:v>J</x:v>
      </x:c>
      <x:c r="E191" s="18" t="str">
        <x:v>W</x:v>
      </x:c>
      <x:c r="F191" s="18" t="str">
        <x:v>W</x:v>
      </x:c>
      <x:c r="G191" s="18" t="str">
        <x:v>J</x:v>
      </x:c>
      <x:c r="H191" s="18" t="str">
        <x:v>W</x:v>
      </x:c>
      <x:c r="I191" s="21" t="n">
        <x:f>PRODUCT(VLOOKUP(D191,$A$29:$F$42,2,FALSE),VLOOKUP(E191,$A$29:$F$42,3,FALSE),VLOOKUP(F191,$A$29:$F$42,4,FALSE),VLOOKUP(G191,$A$29:$F$42,5,FALSE),VLOOKUP(H191,$A$29:$F$42,6,FALSE))</x:f>
        <x:v>128</x:v>
      </x:c>
      <x:c r="J191" s="22" t="n">
        <x:f>I191/$N$5</x:f>
        <x:v>0.00004</x:v>
      </x:c>
      <x:c r="K191" s="18" t="n">
        <x:f>MAX(INDEX($I$6:$K$11,MATCH(A191,$H$6:$H$11,0),MATCH(B191&amp;"連線",$I$5:$K$5,0)),IF(C191&gt;=3,INDEX($I$6:$K$11,MATCH("W",$H$6:$H$11,0),MATCH(C191&amp;"連線",$I$5:$K$5,0)),0))</x:f>
        <x:v>75</x:v>
      </x:c>
      <x:c r="L191" s="22" t="n">
        <x:f>J191*K191</x:f>
        <x:v>0.003</x:v>
      </x:c>
      <x:c r="M191" s="18" t="str">
        <x:f>IF(K191&gt;INDEX($I$6:$K$11,MATCH(A191,$H$6:$H$11,0),MATCH(B191&amp;"連線",$I$5:$K$5,0)),"取 Wild 連線較高賠率","取一般圖案連線賠率")</x:f>
        <x:v>取一般圖案連線賠率</x:v>
      </x:c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 t="str">
        <x:v>J</x:v>
      </x:c>
      <x:c r="B192" s="18" t="n">
        <x:v>5</x:v>
      </x:c>
      <x:c r="C192" s="18" t="n">
        <x:f>IF(D192&lt;&gt;"W",0,IF(E192&lt;&gt;"W",1,IF(F192&lt;&gt;"W",2,IF(G192&lt;&gt;"W",3,IF(H192&lt;&gt;"W",4,5)))))</x:f>
        <x:v>0</x:v>
      </x:c>
      <x:c r="D192" s="18" t="str">
        <x:v>J</x:v>
      </x:c>
      <x:c r="E192" s="18" t="str">
        <x:v>W</x:v>
      </x:c>
      <x:c r="F192" s="18" t="str">
        <x:v>J</x:v>
      </x:c>
      <x:c r="G192" s="18" t="str">
        <x:v>W</x:v>
      </x:c>
      <x:c r="H192" s="18" t="str">
        <x:v>W</x:v>
      </x:c>
      <x:c r="I192" s="21" t="n">
        <x:f>PRODUCT(VLOOKUP(D192,$A$29:$F$42,2,FALSE),VLOOKUP(E192,$A$29:$F$42,3,FALSE),VLOOKUP(F192,$A$29:$F$42,4,FALSE),VLOOKUP(G192,$A$29:$F$42,5,FALSE),VLOOKUP(H192,$A$29:$F$42,6,FALSE))</x:f>
        <x:v>128</x:v>
      </x:c>
      <x:c r="J192" s="22" t="n">
        <x:f>I192/$N$5</x:f>
        <x:v>0.00004</x:v>
      </x:c>
      <x:c r="K192" s="18" t="n">
        <x:f>MAX(INDEX($I$6:$K$11,MATCH(A192,$H$6:$H$11,0),MATCH(B192&amp;"連線",$I$5:$K$5,0)),IF(C192&gt;=3,INDEX($I$6:$K$11,MATCH("W",$H$6:$H$11,0),MATCH(C192&amp;"連線",$I$5:$K$5,0)),0))</x:f>
        <x:v>75</x:v>
      </x:c>
      <x:c r="L192" s="22" t="n">
        <x:f>J192*K192</x:f>
        <x:v>0.003</x:v>
      </x:c>
      <x:c r="M192" s="18" t="str">
        <x:f>IF(K192&gt;INDEX($I$6:$K$11,MATCH(A192,$H$6:$H$11,0),MATCH(B192&amp;"連線",$I$5:$K$5,0)),"取 Wild 連線較高賠率","取一般圖案連線賠率")</x:f>
        <x:v>取一般圖案連線賠率</x:v>
      </x:c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 t="str">
        <x:v>J</x:v>
      </x:c>
      <x:c r="B193" s="18" t="n">
        <x:v>5</x:v>
      </x:c>
      <x:c r="C193" s="18" t="n">
        <x:f>IF(D193&lt;&gt;"W",0,IF(E193&lt;&gt;"W",1,IF(F193&lt;&gt;"W",2,IF(G193&lt;&gt;"W",3,IF(H193&lt;&gt;"W",4,5)))))</x:f>
        <x:v>0</x:v>
      </x:c>
      <x:c r="D193" s="18" t="str">
        <x:v>J</x:v>
      </x:c>
      <x:c r="E193" s="18" t="str">
        <x:v>J</x:v>
      </x:c>
      <x:c r="F193" s="18" t="str">
        <x:v>W</x:v>
      </x:c>
      <x:c r="G193" s="18" t="str">
        <x:v>W</x:v>
      </x:c>
      <x:c r="H193" s="18" t="str">
        <x:v>W</x:v>
      </x:c>
      <x:c r="I193" s="21" t="n">
        <x:f>PRODUCT(VLOOKUP(D193,$A$29:$F$42,2,FALSE),VLOOKUP(E193,$A$29:$F$42,3,FALSE),VLOOKUP(F193,$A$29:$F$42,4,FALSE),VLOOKUP(G193,$A$29:$F$42,5,FALSE),VLOOKUP(H193,$A$29:$F$42,6,FALSE))</x:f>
        <x:v>160</x:v>
      </x:c>
      <x:c r="J193" s="22" t="n">
        <x:f>I193/$N$5</x:f>
        <x:v>0.00005</x:v>
      </x:c>
      <x:c r="K193" s="18" t="n">
        <x:f>MAX(INDEX($I$6:$K$11,MATCH(A193,$H$6:$H$11,0),MATCH(B193&amp;"連線",$I$5:$K$5,0)),IF(C193&gt;=3,INDEX($I$6:$K$11,MATCH("W",$H$6:$H$11,0),MATCH(C193&amp;"連線",$I$5:$K$5,0)),0))</x:f>
        <x:v>75</x:v>
      </x:c>
      <x:c r="L193" s="22" t="n">
        <x:f>J193*K193</x:f>
        <x:v>0.0037500000000000003</x:v>
      </x:c>
      <x:c r="M193" s="18" t="str">
        <x:f>IF(K193&gt;INDEX($I$6:$K$11,MATCH(A193,$H$6:$H$11,0),MATCH(B193&amp;"連線",$I$5:$K$5,0)),"取 Wild 連線較高賠率","取一般圖案連線賠率")</x:f>
        <x:v>取一般圖案連線賠率</x:v>
      </x:c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 t="str">
        <x:v>J</x:v>
      </x:c>
      <x:c r="B194" s="18" t="n">
        <x:v>5</x:v>
      </x:c>
      <x:c r="C194" s="18" t="n">
        <x:f>IF(D194&lt;&gt;"W",0,IF(E194&lt;&gt;"W",1,IF(F194&lt;&gt;"W",2,IF(G194&lt;&gt;"W",3,IF(H194&lt;&gt;"W",4,5)))))</x:f>
        <x:v>4</x:v>
      </x:c>
      <x:c r="D194" s="18" t="str">
        <x:v>W</x:v>
      </x:c>
      <x:c r="E194" s="18" t="str">
        <x:v>W</x:v>
      </x:c>
      <x:c r="F194" s="18" t="str">
        <x:v>W</x:v>
      </x:c>
      <x:c r="G194" s="18" t="str">
        <x:v>W</x:v>
      </x:c>
      <x:c r="H194" s="18" t="str">
        <x:v>J</x:v>
      </x:c>
      <x:c r="I194" s="21" t="n">
        <x:f>PRODUCT(VLOOKUP(D194,$A$29:$F$42,2,FALSE),VLOOKUP(E194,$A$29:$F$42,3,FALSE),VLOOKUP(F194,$A$29:$F$42,4,FALSE),VLOOKUP(G194,$A$29:$F$42,5,FALSE),VLOOKUP(H194,$A$29:$F$42,6,FALSE))</x:f>
        <x:v>64</x:v>
      </x:c>
      <x:c r="J194" s="22" t="n">
        <x:f>I194/$N$5</x:f>
        <x:v>0.00002</x:v>
      </x:c>
      <x:c r="K194" s="18" t="n">
        <x:f>MAX(INDEX($I$6:$K$11,MATCH(A194,$H$6:$H$11,0),MATCH(B194&amp;"連線",$I$5:$K$5,0)),IF(C194&gt;=3,INDEX($I$6:$K$11,MATCH("W",$H$6:$H$11,0),MATCH(C194&amp;"連線",$I$5:$K$5,0)),0))</x:f>
        <x:v>300</x:v>
      </x:c>
      <x:c r="L194" s="22" t="n">
        <x:f>J194*K194</x:f>
        <x:v>0.006</x:v>
      </x:c>
      <x:c r="M194" s="18" t="str">
        <x:f>IF(K194&gt;INDEX($I$6:$K$11,MATCH(A194,$H$6:$H$11,0),MATCH(B194&amp;"連線",$I$5:$K$5,0)),"取 Wild 連線較高賠率","取一般圖案連線賠率")</x:f>
        <x:v>取 Wild 連線較高賠率</x:v>
      </x:c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 t="str">
        <x:v>J</x:v>
      </x:c>
      <x:c r="B195" s="18" t="n">
        <x:v>5</x:v>
      </x:c>
      <x:c r="C195" s="18" t="n">
        <x:f>IF(D195&lt;&gt;"W",0,IF(E195&lt;&gt;"W",1,IF(F195&lt;&gt;"W",2,IF(G195&lt;&gt;"W",3,IF(H195&lt;&gt;"W",4,5)))))</x:f>
        <x:v>3</x:v>
      </x:c>
      <x:c r="D195" s="18" t="str">
        <x:v>W</x:v>
      </x:c>
      <x:c r="E195" s="18" t="str">
        <x:v>W</x:v>
      </x:c>
      <x:c r="F195" s="18" t="str">
        <x:v>W</x:v>
      </x:c>
      <x:c r="G195" s="18" t="str">
        <x:v>J</x:v>
      </x:c>
      <x:c r="H195" s="18" t="str">
        <x:v>W</x:v>
      </x:c>
      <x:c r="I195" s="21" t="n">
        <x:f>PRODUCT(VLOOKUP(D195,$A$29:$F$42,2,FALSE),VLOOKUP(E195,$A$29:$F$42,3,FALSE),VLOOKUP(F195,$A$29:$F$42,4,FALSE),VLOOKUP(G195,$A$29:$F$42,5,FALSE),VLOOKUP(H195,$A$29:$F$42,6,FALSE))</x:f>
        <x:v>64</x:v>
      </x:c>
      <x:c r="J195" s="22" t="n">
        <x:f>I195/$N$5</x:f>
        <x:v>0.00002</x:v>
      </x:c>
      <x:c r="K195" s="18" t="n">
        <x:f>MAX(INDEX($I$6:$K$11,MATCH(A195,$H$6:$H$11,0),MATCH(B195&amp;"連線",$I$5:$K$5,0)),IF(C195&gt;=3,INDEX($I$6:$K$11,MATCH("W",$H$6:$H$11,0),MATCH(C195&amp;"連線",$I$5:$K$5,0)),0))</x:f>
        <x:v>150</x:v>
      </x:c>
      <x:c r="L195" s="22" t="n">
        <x:f>J195*K195</x:f>
        <x:v>0.003</x:v>
      </x:c>
      <x:c r="M195" s="18" t="str">
        <x:f>IF(K195&gt;INDEX($I$6:$K$11,MATCH(A195,$H$6:$H$11,0),MATCH(B195&amp;"連線",$I$5:$K$5,0)),"取 Wild 連線較高賠率","取一般圖案連線賠率")</x:f>
        <x:v>取 Wild 連線較高賠率</x:v>
      </x:c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 t="str">
        <x:v>J</x:v>
      </x:c>
      <x:c r="B196" s="18" t="n">
        <x:v>5</x:v>
      </x:c>
      <x:c r="C196" s="18" t="n">
        <x:f>IF(D196&lt;&gt;"W",0,IF(E196&lt;&gt;"W",1,IF(F196&lt;&gt;"W",2,IF(G196&lt;&gt;"W",3,IF(H196&lt;&gt;"W",4,5)))))</x:f>
        <x:v>2</x:v>
      </x:c>
      <x:c r="D196" s="18" t="str">
        <x:v>W</x:v>
      </x:c>
      <x:c r="E196" s="18" t="str">
        <x:v>W</x:v>
      </x:c>
      <x:c r="F196" s="18" t="str">
        <x:v>J</x:v>
      </x:c>
      <x:c r="G196" s="18" t="str">
        <x:v>W</x:v>
      </x:c>
      <x:c r="H196" s="18" t="str">
        <x:v>W</x:v>
      </x:c>
      <x:c r="I196" s="21" t="n">
        <x:f>PRODUCT(VLOOKUP(D196,$A$29:$F$42,2,FALSE),VLOOKUP(E196,$A$29:$F$42,3,FALSE),VLOOKUP(F196,$A$29:$F$42,4,FALSE),VLOOKUP(G196,$A$29:$F$42,5,FALSE),VLOOKUP(H196,$A$29:$F$42,6,FALSE))</x:f>
        <x:v>64</x:v>
      </x:c>
      <x:c r="J196" s="22" t="n">
        <x:f>I196/$N$5</x:f>
        <x:v>0.00002</x:v>
      </x:c>
      <x:c r="K196" s="18" t="n">
        <x:f>MAX(INDEX($I$6:$K$11,MATCH(A196,$H$6:$H$11,0),MATCH(B196&amp;"連線",$I$5:$K$5,0)),IF(C196&gt;=3,INDEX($I$6:$K$11,MATCH("W",$H$6:$H$11,0),MATCH(C196&amp;"連線",$I$5:$K$5,0)),0))</x:f>
        <x:v>75</x:v>
      </x:c>
      <x:c r="L196" s="22" t="n">
        <x:f>J196*K196</x:f>
        <x:v>0.0015</x:v>
      </x:c>
      <x:c r="M196" s="18" t="str">
        <x:f>IF(K196&gt;INDEX($I$6:$K$11,MATCH(A196,$H$6:$H$11,0),MATCH(B196&amp;"連線",$I$5:$K$5,0)),"取 Wild 連線較高賠率","取一般圖案連線賠率")</x:f>
        <x:v>取一般圖案連線賠率</x:v>
      </x:c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 t="str">
        <x:v>J</x:v>
      </x:c>
      <x:c r="B197" s="18" t="n">
        <x:v>5</x:v>
      </x:c>
      <x:c r="C197" s="18" t="n">
        <x:f>IF(D197&lt;&gt;"W",0,IF(E197&lt;&gt;"W",1,IF(F197&lt;&gt;"W",2,IF(G197&lt;&gt;"W",3,IF(H197&lt;&gt;"W",4,5)))))</x:f>
        <x:v>1</x:v>
      </x:c>
      <x:c r="D197" s="18" t="str">
        <x:v>W</x:v>
      </x:c>
      <x:c r="E197" s="18" t="str">
        <x:v>J</x:v>
      </x:c>
      <x:c r="F197" s="18" t="str">
        <x:v>W</x:v>
      </x:c>
      <x:c r="G197" s="18" t="str">
        <x:v>W</x:v>
      </x:c>
      <x:c r="H197" s="18" t="str">
        <x:v>W</x:v>
      </x:c>
      <x:c r="I197" s="21" t="n">
        <x:f>PRODUCT(VLOOKUP(D197,$A$29:$F$42,2,FALSE),VLOOKUP(E197,$A$29:$F$42,3,FALSE),VLOOKUP(F197,$A$29:$F$42,4,FALSE),VLOOKUP(G197,$A$29:$F$42,5,FALSE),VLOOKUP(H197,$A$29:$F$42,6,FALSE))</x:f>
        <x:v>80</x:v>
      </x:c>
      <x:c r="J197" s="22" t="n">
        <x:f>I197/$N$5</x:f>
        <x:v>0.000025</x:v>
      </x:c>
      <x:c r="K197" s="18" t="n">
        <x:f>MAX(INDEX($I$6:$K$11,MATCH(A197,$H$6:$H$11,0),MATCH(B197&amp;"連線",$I$5:$K$5,0)),IF(C197&gt;=3,INDEX($I$6:$K$11,MATCH("W",$H$6:$H$11,0),MATCH(C197&amp;"連線",$I$5:$K$5,0)),0))</x:f>
        <x:v>75</x:v>
      </x:c>
      <x:c r="L197" s="22" t="n">
        <x:f>J197*K197</x:f>
        <x:v>0.0018750000000000001</x:v>
      </x:c>
      <x:c r="M197" s="18" t="str">
        <x:f>IF(K197&gt;INDEX($I$6:$K$11,MATCH(A197,$H$6:$H$11,0),MATCH(B197&amp;"連線",$I$5:$K$5,0)),"取 Wild 連線較高賠率","取一般圖案連線賠率")</x:f>
        <x:v>取一般圖案連線賠率</x:v>
      </x:c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 t="str">
        <x:v>J</x:v>
      </x:c>
      <x:c r="B198" s="18" t="n">
        <x:v>5</x:v>
      </x:c>
      <x:c r="C198" s="18" t="n">
        <x:f>IF(D198&lt;&gt;"W",0,IF(E198&lt;&gt;"W",1,IF(F198&lt;&gt;"W",2,IF(G198&lt;&gt;"W",3,IF(H198&lt;&gt;"W",4,5)))))</x:f>
        <x:v>0</x:v>
      </x:c>
      <x:c r="D198" s="18" t="str">
        <x:v>J</x:v>
      </x:c>
      <x:c r="E198" s="18" t="str">
        <x:v>W</x:v>
      </x:c>
      <x:c r="F198" s="18" t="str">
        <x:v>W</x:v>
      </x:c>
      <x:c r="G198" s="18" t="str">
        <x:v>W</x:v>
      </x:c>
      <x:c r="H198" s="18" t="str">
        <x:v>W</x:v>
      </x:c>
      <x:c r="I198" s="21" t="n">
        <x:f>PRODUCT(VLOOKUP(D198,$A$29:$F$42,2,FALSE),VLOOKUP(E198,$A$29:$F$42,3,FALSE),VLOOKUP(F198,$A$29:$F$42,4,FALSE),VLOOKUP(G198,$A$29:$F$42,5,FALSE),VLOOKUP(H198,$A$29:$F$42,6,FALSE))</x:f>
        <x:v>64</x:v>
      </x:c>
      <x:c r="J198" s="22" t="n">
        <x:f>I198/$N$5</x:f>
        <x:v>0.00002</x:v>
      </x:c>
      <x:c r="K198" s="18" t="n">
        <x:f>MAX(INDEX($I$6:$K$11,MATCH(A198,$H$6:$H$11,0),MATCH(B198&amp;"連線",$I$5:$K$5,0)),IF(C198&gt;=3,INDEX($I$6:$K$11,MATCH("W",$H$6:$H$11,0),MATCH(C198&amp;"連線",$I$5:$K$5,0)),0))</x:f>
        <x:v>75</x:v>
      </x:c>
      <x:c r="L198" s="22" t="n">
        <x:f>J198*K198</x:f>
        <x:v>0.0015</x:v>
      </x:c>
      <x:c r="M198" s="18" t="str">
        <x:f>IF(K198&gt;INDEX($I$6:$K$11,MATCH(A198,$H$6:$H$11,0),MATCH(B198&amp;"連線",$I$5:$K$5,0)),"取 Wild 連線較高賠率","取一般圖案連線賠率")</x:f>
        <x:v>取一般圖案連線賠率</x:v>
      </x:c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 t="str">
        <x:v>J</x:v>
      </x:c>
      <x:c r="B199" s="18" t="n">
        <x:v>4</x:v>
      </x:c>
      <x:c r="C199" s="18" t="n">
        <x:f>IF(D199&lt;&gt;"W",0,IF(E199&lt;&gt;"W",1,IF(F199&lt;&gt;"W",2,IF(G199&lt;&gt;"W",3,IF(H199&lt;&gt;"W",4,5)))))</x:f>
        <x:v>1</x:v>
      </x:c>
      <x:c r="D199" s="18" t="str">
        <x:v>W</x:v>
      </x:c>
      <x:c r="E199" s="18" t="str">
        <x:v>J</x:v>
      </x:c>
      <x:c r="F199" s="18" t="str">
        <x:v>J</x:v>
      </x:c>
      <x:c r="G199" s="18" t="str">
        <x:v>J</x:v>
      </x:c>
      <x:c r="H199" s="18" t="str">
        <x:v>X_WJ</x:v>
      </x:c>
      <x:c r="I199" s="21" t="n">
        <x:f>PRODUCT(VLOOKUP(D199,$A$29:$F$42,2,FALSE),VLOOKUP(E199,$A$29:$F$42,3,FALSE),VLOOKUP(F199,$A$29:$F$42,4,FALSE),VLOOKUP(G199,$A$29:$F$42,5,FALSE),VLOOKUP(H199,$A$29:$F$42,6,FALSE))</x:f>
        <x:v>2240</x:v>
      </x:c>
      <x:c r="J199" s="22" t="n">
        <x:f>I199/$N$5</x:f>
        <x:v>0.0007</x:v>
      </x:c>
      <x:c r="K199" s="18" t="n">
        <x:f>MAX(INDEX($I$6:$K$11,MATCH(A199,$H$6:$H$11,0),MATCH(B199&amp;"連線",$I$5:$K$5,0)),IF(C199&gt;=3,INDEX($I$6:$K$11,MATCH("W",$H$6:$H$11,0),MATCH(C199&amp;"連線",$I$5:$K$5,0)),0))</x:f>
        <x:v>20</x:v>
      </x:c>
      <x:c r="L199" s="22" t="n">
        <x:f>J199*K199</x:f>
        <x:v>0.014</x:v>
      </x:c>
      <x:c r="M199" s="18" t="str">
        <x:f>IF(K199&gt;INDEX($I$6:$K$11,MATCH(A199,$H$6:$H$11,0),MATCH(B199&amp;"連線",$I$5:$K$5,0)),"取 Wild 連線較高賠率","取一般圖案連線賠率")</x:f>
        <x:v>取一般圖案連線賠率</x:v>
      </x:c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 t="str">
        <x:v>J</x:v>
      </x:c>
      <x:c r="B200" s="18" t="n">
        <x:v>4</x:v>
      </x:c>
      <x:c r="C200" s="18" t="n">
        <x:f>IF(D200&lt;&gt;"W",0,IF(E200&lt;&gt;"W",1,IF(F200&lt;&gt;"W",2,IF(G200&lt;&gt;"W",3,IF(H200&lt;&gt;"W",4,5)))))</x:f>
        <x:v>0</x:v>
      </x:c>
      <x:c r="D200" s="18" t="str">
        <x:v>J</x:v>
      </x:c>
      <x:c r="E200" s="18" t="str">
        <x:v>W</x:v>
      </x:c>
      <x:c r="F200" s="18" t="str">
        <x:v>J</x:v>
      </x:c>
      <x:c r="G200" s="18" t="str">
        <x:v>J</x:v>
      </x:c>
      <x:c r="H200" s="18" t="str">
        <x:v>X_WJ</x:v>
      </x:c>
      <x:c r="I200" s="21" t="n">
        <x:f>PRODUCT(VLOOKUP(D200,$A$29:$F$42,2,FALSE),VLOOKUP(E200,$A$29:$F$42,3,FALSE),VLOOKUP(F200,$A$29:$F$42,4,FALSE),VLOOKUP(G200,$A$29:$F$42,5,FALSE),VLOOKUP(H200,$A$29:$F$42,6,FALSE))</x:f>
        <x:v>1792</x:v>
      </x:c>
      <x:c r="J200" s="22" t="n">
        <x:f>I200/$N$5</x:f>
        <x:v>0.00056</x:v>
      </x:c>
      <x:c r="K200" s="18" t="n">
        <x:f>MAX(INDEX($I$6:$K$11,MATCH(A200,$H$6:$H$11,0),MATCH(B200&amp;"連線",$I$5:$K$5,0)),IF(C200&gt;=3,INDEX($I$6:$K$11,MATCH("W",$H$6:$H$11,0),MATCH(C200&amp;"連線",$I$5:$K$5,0)),0))</x:f>
        <x:v>20</x:v>
      </x:c>
      <x:c r="L200" s="22" t="n">
        <x:f>J200*K200</x:f>
        <x:v>0.011199999999999998</x:v>
      </x:c>
      <x:c r="M200" s="18" t="str">
        <x:f>IF(K200&gt;INDEX($I$6:$K$11,MATCH(A200,$H$6:$H$11,0),MATCH(B200&amp;"連線",$I$5:$K$5,0)),"取 Wild 連線較高賠率","取一般圖案連線賠率")</x:f>
        <x:v>取一般圖案連線賠率</x:v>
      </x:c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  <x:row r="201">
      <x:c r="A201" s="18" t="str">
        <x:v>J</x:v>
      </x:c>
      <x:c r="B201" s="18" t="n">
        <x:v>4</x:v>
      </x:c>
      <x:c r="C201" s="18" t="n">
        <x:f>IF(D201&lt;&gt;"W",0,IF(E201&lt;&gt;"W",1,IF(F201&lt;&gt;"W",2,IF(G201&lt;&gt;"W",3,IF(H201&lt;&gt;"W",4,5)))))</x:f>
        <x:v>0</x:v>
      </x:c>
      <x:c r="D201" s="18" t="str">
        <x:v>J</x:v>
      </x:c>
      <x:c r="E201" s="18" t="str">
        <x:v>J</x:v>
      </x:c>
      <x:c r="F201" s="18" t="str">
        <x:v>W</x:v>
      </x:c>
      <x:c r="G201" s="18" t="str">
        <x:v>J</x:v>
      </x:c>
      <x:c r="H201" s="18" t="str">
        <x:v>X_WJ</x:v>
      </x:c>
      <x:c r="I201" s="21" t="n">
        <x:f>PRODUCT(VLOOKUP(D201,$A$29:$F$42,2,FALSE),VLOOKUP(E201,$A$29:$F$42,3,FALSE),VLOOKUP(F201,$A$29:$F$42,4,FALSE),VLOOKUP(G201,$A$29:$F$42,5,FALSE),VLOOKUP(H201,$A$29:$F$42,6,FALSE))</x:f>
        <x:v>2240</x:v>
      </x:c>
      <x:c r="J201" s="22" t="n">
        <x:f>I201/$N$5</x:f>
        <x:v>0.0007</x:v>
      </x:c>
      <x:c r="K201" s="18" t="n">
        <x:f>MAX(INDEX($I$6:$K$11,MATCH(A201,$H$6:$H$11,0),MATCH(B201&amp;"連線",$I$5:$K$5,0)),IF(C201&gt;=3,INDEX($I$6:$K$11,MATCH("W",$H$6:$H$11,0),MATCH(C201&amp;"連線",$I$5:$K$5,0)),0))</x:f>
        <x:v>20</x:v>
      </x:c>
      <x:c r="L201" s="22" t="n">
        <x:f>J201*K201</x:f>
        <x:v>0.014</x:v>
      </x:c>
      <x:c r="M201" s="18" t="str">
        <x:f>IF(K201&gt;INDEX($I$6:$K$11,MATCH(A201,$H$6:$H$11,0),MATCH(B201&amp;"連線",$I$5:$K$5,0)),"取 Wild 連線較高賠率","取一般圖案連線賠率")</x:f>
        <x:v>取一般圖案連線賠率</x:v>
      </x:c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</x:row>
    <x:row r="202">
      <x:c r="A202" s="18" t="str">
        <x:v>J</x:v>
      </x:c>
      <x:c r="B202" s="18" t="n">
        <x:v>4</x:v>
      </x:c>
      <x:c r="C202" s="18" t="n">
        <x:f>IF(D202&lt;&gt;"W",0,IF(E202&lt;&gt;"W",1,IF(F202&lt;&gt;"W",2,IF(G202&lt;&gt;"W",3,IF(H202&lt;&gt;"W",4,5)))))</x:f>
        <x:v>0</x:v>
      </x:c>
      <x:c r="D202" s="18" t="str">
        <x:v>J</x:v>
      </x:c>
      <x:c r="E202" s="18" t="str">
        <x:v>J</x:v>
      </x:c>
      <x:c r="F202" s="18" t="str">
        <x:v>J</x:v>
      </x:c>
      <x:c r="G202" s="18" t="str">
        <x:v>W</x:v>
      </x:c>
      <x:c r="H202" s="18" t="str">
        <x:v>X_WJ</x:v>
      </x:c>
      <x:c r="I202" s="21" t="n">
        <x:f>PRODUCT(VLOOKUP(D202,$A$29:$F$42,2,FALSE),VLOOKUP(E202,$A$29:$F$42,3,FALSE),VLOOKUP(F202,$A$29:$F$42,4,FALSE),VLOOKUP(G202,$A$29:$F$42,5,FALSE),VLOOKUP(H202,$A$29:$F$42,6,FALSE))</x:f>
        <x:v>2240</x:v>
      </x:c>
      <x:c r="J202" s="22" t="n">
        <x:f>I202/$N$5</x:f>
        <x:v>0.0007</x:v>
      </x:c>
      <x:c r="K202" s="18" t="n">
        <x:f>MAX(INDEX($I$6:$K$11,MATCH(A202,$H$6:$H$11,0),MATCH(B202&amp;"連線",$I$5:$K$5,0)),IF(C202&gt;=3,INDEX($I$6:$K$11,MATCH("W",$H$6:$H$11,0),MATCH(C202&amp;"連線",$I$5:$K$5,0)),0))</x:f>
        <x:v>20</x:v>
      </x:c>
      <x:c r="L202" s="22" t="n">
        <x:f>J202*K202</x:f>
        <x:v>0.014</x:v>
      </x:c>
      <x:c r="M202" s="18" t="str">
        <x:f>IF(K202&gt;INDEX($I$6:$K$11,MATCH(A202,$H$6:$H$11,0),MATCH(B202&amp;"連線",$I$5:$K$5,0)),"取 Wild 連線較高賠率","取一般圖案連線賠率")</x:f>
        <x:v>取一般圖案連線賠率</x:v>
      </x:c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</x:row>
    <x:row r="203">
      <x:c r="A203" s="18" t="str">
        <x:v>J</x:v>
      </x:c>
      <x:c r="B203" s="18" t="n">
        <x:v>4</x:v>
      </x:c>
      <x:c r="C203" s="18" t="n">
        <x:f>IF(D203&lt;&gt;"W",0,IF(E203&lt;&gt;"W",1,IF(F203&lt;&gt;"W",2,IF(G203&lt;&gt;"W",3,IF(H203&lt;&gt;"W",4,5)))))</x:f>
        <x:v>2</x:v>
      </x:c>
      <x:c r="D203" s="18" t="str">
        <x:v>W</x:v>
      </x:c>
      <x:c r="E203" s="18" t="str">
        <x:v>W</x:v>
      </x:c>
      <x:c r="F203" s="18" t="str">
        <x:v>J</x:v>
      </x:c>
      <x:c r="G203" s="18" t="str">
        <x:v>J</x:v>
      </x:c>
      <x:c r="H203" s="18" t="str">
        <x:v>X_WJ</x:v>
      </x:c>
      <x:c r="I203" s="21" t="n">
        <x:f>PRODUCT(VLOOKUP(D203,$A$29:$F$42,2,FALSE),VLOOKUP(E203,$A$29:$F$42,3,FALSE),VLOOKUP(F203,$A$29:$F$42,4,FALSE),VLOOKUP(G203,$A$29:$F$42,5,FALSE),VLOOKUP(H203,$A$29:$F$42,6,FALSE))</x:f>
        <x:v>896</x:v>
      </x:c>
      <x:c r="J203" s="22" t="n">
        <x:f>I203/$N$5</x:f>
        <x:v>0.00028</x:v>
      </x:c>
      <x:c r="K203" s="18" t="n">
        <x:f>MAX(INDEX($I$6:$K$11,MATCH(A203,$H$6:$H$11,0),MATCH(B203&amp;"連線",$I$5:$K$5,0)),IF(C203&gt;=3,INDEX($I$6:$K$11,MATCH("W",$H$6:$H$11,0),MATCH(C203&amp;"連線",$I$5:$K$5,0)),0))</x:f>
        <x:v>20</x:v>
      </x:c>
      <x:c r="L203" s="22" t="n">
        <x:f>J203*K203</x:f>
        <x:v>0.005599999999999999</x:v>
      </x:c>
      <x:c r="M203" s="18" t="str">
        <x:f>IF(K203&gt;INDEX($I$6:$K$11,MATCH(A203,$H$6:$H$11,0),MATCH(B203&amp;"連線",$I$5:$K$5,0)),"取 Wild 連線較高賠率","取一般圖案連線賠率")</x:f>
        <x:v>取一般圖案連線賠率</x:v>
      </x:c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</x:row>
    <x:row r="204">
      <x:c r="A204" s="18" t="str">
        <x:v>J</x:v>
      </x:c>
      <x:c r="B204" s="18" t="n">
        <x:v>4</x:v>
      </x:c>
      <x:c r="C204" s="18" t="n">
        <x:f>IF(D204&lt;&gt;"W",0,IF(E204&lt;&gt;"W",1,IF(F204&lt;&gt;"W",2,IF(G204&lt;&gt;"W",3,IF(H204&lt;&gt;"W",4,5)))))</x:f>
        <x:v>1</x:v>
      </x:c>
      <x:c r="D204" s="18" t="str">
        <x:v>W</x:v>
      </x:c>
      <x:c r="E204" s="18" t="str">
        <x:v>J</x:v>
      </x:c>
      <x:c r="F204" s="18" t="str">
        <x:v>W</x:v>
      </x:c>
      <x:c r="G204" s="18" t="str">
        <x:v>J</x:v>
      </x:c>
      <x:c r="H204" s="18" t="str">
        <x:v>X_WJ</x:v>
      </x:c>
      <x:c r="I204" s="21" t="n">
        <x:f>PRODUCT(VLOOKUP(D204,$A$29:$F$42,2,FALSE),VLOOKUP(E204,$A$29:$F$42,3,FALSE),VLOOKUP(F204,$A$29:$F$42,4,FALSE),VLOOKUP(G204,$A$29:$F$42,5,FALSE),VLOOKUP(H204,$A$29:$F$42,6,FALSE))</x:f>
        <x:v>1120</x:v>
      </x:c>
      <x:c r="J204" s="22" t="n">
        <x:f>I204/$N$5</x:f>
        <x:v>0.00035</x:v>
      </x:c>
      <x:c r="K204" s="18" t="n">
        <x:f>MAX(INDEX($I$6:$K$11,MATCH(A204,$H$6:$H$11,0),MATCH(B204&amp;"連線",$I$5:$K$5,0)),IF(C204&gt;=3,INDEX($I$6:$K$11,MATCH("W",$H$6:$H$11,0),MATCH(C204&amp;"連線",$I$5:$K$5,0)),0))</x:f>
        <x:v>20</x:v>
      </x:c>
      <x:c r="L204" s="22" t="n">
        <x:f>J204*K204</x:f>
        <x:v>0.007</x:v>
      </x:c>
      <x:c r="M204" s="18" t="str">
        <x:f>IF(K204&gt;INDEX($I$6:$K$11,MATCH(A204,$H$6:$H$11,0),MATCH(B204&amp;"連線",$I$5:$K$5,0)),"取 Wild 連線較高賠率","取一般圖案連線賠率")</x:f>
        <x:v>取一般圖案連線賠率</x:v>
      </x:c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</x:row>
    <x:row r="205">
      <x:c r="A205" s="18" t="str">
        <x:v>J</x:v>
      </x:c>
      <x:c r="B205" s="18" t="n">
        <x:v>4</x:v>
      </x:c>
      <x:c r="C205" s="18" t="n">
        <x:f>IF(D205&lt;&gt;"W",0,IF(E205&lt;&gt;"W",1,IF(F205&lt;&gt;"W",2,IF(G205&lt;&gt;"W",3,IF(H205&lt;&gt;"W",4,5)))))</x:f>
        <x:v>1</x:v>
      </x:c>
      <x:c r="D205" s="18" t="str">
        <x:v>W</x:v>
      </x:c>
      <x:c r="E205" s="18" t="str">
        <x:v>J</x:v>
      </x:c>
      <x:c r="F205" s="18" t="str">
        <x:v>J</x:v>
      </x:c>
      <x:c r="G205" s="18" t="str">
        <x:v>W</x:v>
      </x:c>
      <x:c r="H205" s="18" t="str">
        <x:v>X_WJ</x:v>
      </x:c>
      <x:c r="I205" s="21" t="n">
        <x:f>PRODUCT(VLOOKUP(D205,$A$29:$F$42,2,FALSE),VLOOKUP(E205,$A$29:$F$42,3,FALSE),VLOOKUP(F205,$A$29:$F$42,4,FALSE),VLOOKUP(G205,$A$29:$F$42,5,FALSE),VLOOKUP(H205,$A$29:$F$42,6,FALSE))</x:f>
        <x:v>1120</x:v>
      </x:c>
      <x:c r="J205" s="22" t="n">
        <x:f>I205/$N$5</x:f>
        <x:v>0.00035</x:v>
      </x:c>
      <x:c r="K205" s="18" t="n">
        <x:f>MAX(INDEX($I$6:$K$11,MATCH(A205,$H$6:$H$11,0),MATCH(B205&amp;"連線",$I$5:$K$5,0)),IF(C205&gt;=3,INDEX($I$6:$K$11,MATCH("W",$H$6:$H$11,0),MATCH(C205&amp;"連線",$I$5:$K$5,0)),0))</x:f>
        <x:v>20</x:v>
      </x:c>
      <x:c r="L205" s="22" t="n">
        <x:f>J205*K205</x:f>
        <x:v>0.007</x:v>
      </x:c>
      <x:c r="M205" s="18" t="str">
        <x:f>IF(K205&gt;INDEX($I$6:$K$11,MATCH(A205,$H$6:$H$11,0),MATCH(B205&amp;"連線",$I$5:$K$5,0)),"取 Wild 連線較高賠率","取一般圖案連線賠率")</x:f>
        <x:v>取一般圖案連線賠率</x:v>
      </x:c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</x:row>
    <x:row r="206">
      <x:c r="A206" s="18" t="str">
        <x:v>J</x:v>
      </x:c>
      <x:c r="B206" s="18" t="n">
        <x:v>4</x:v>
      </x:c>
      <x:c r="C206" s="18" t="n">
        <x:f>IF(D206&lt;&gt;"W",0,IF(E206&lt;&gt;"W",1,IF(F206&lt;&gt;"W",2,IF(G206&lt;&gt;"W",3,IF(H206&lt;&gt;"W",4,5)))))</x:f>
        <x:v>0</x:v>
      </x:c>
      <x:c r="D206" s="18" t="str">
        <x:v>J</x:v>
      </x:c>
      <x:c r="E206" s="18" t="str">
        <x:v>W</x:v>
      </x:c>
      <x:c r="F206" s="18" t="str">
        <x:v>W</x:v>
      </x:c>
      <x:c r="G206" s="18" t="str">
        <x:v>J</x:v>
      </x:c>
      <x:c r="H206" s="18" t="str">
        <x:v>X_WJ</x:v>
      </x:c>
      <x:c r="I206" s="21" t="n">
        <x:f>PRODUCT(VLOOKUP(D206,$A$29:$F$42,2,FALSE),VLOOKUP(E206,$A$29:$F$42,3,FALSE),VLOOKUP(F206,$A$29:$F$42,4,FALSE),VLOOKUP(G206,$A$29:$F$42,5,FALSE),VLOOKUP(H206,$A$29:$F$42,6,FALSE))</x:f>
        <x:v>896</x:v>
      </x:c>
      <x:c r="J206" s="22" t="n">
        <x:f>I206/$N$5</x:f>
        <x:v>0.00028</x:v>
      </x:c>
      <x:c r="K206" s="18" t="n">
        <x:f>MAX(INDEX($I$6:$K$11,MATCH(A206,$H$6:$H$11,0),MATCH(B206&amp;"連線",$I$5:$K$5,0)),IF(C206&gt;=3,INDEX($I$6:$K$11,MATCH("W",$H$6:$H$11,0),MATCH(C206&amp;"連線",$I$5:$K$5,0)),0))</x:f>
        <x:v>20</x:v>
      </x:c>
      <x:c r="L206" s="22" t="n">
        <x:f>J206*K206</x:f>
        <x:v>0.005599999999999999</x:v>
      </x:c>
      <x:c r="M206" s="18" t="str">
        <x:f>IF(K206&gt;INDEX($I$6:$K$11,MATCH(A206,$H$6:$H$11,0),MATCH(B206&amp;"連線",$I$5:$K$5,0)),"取 Wild 連線較高賠率","取一般圖案連線賠率")</x:f>
        <x:v>取一般圖案連線賠率</x:v>
      </x:c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</x:row>
    <x:row r="207">
      <x:c r="A207" s="18" t="str">
        <x:v>J</x:v>
      </x:c>
      <x:c r="B207" s="18" t="n">
        <x:v>4</x:v>
      </x:c>
      <x:c r="C207" s="18" t="n">
        <x:f>IF(D207&lt;&gt;"W",0,IF(E207&lt;&gt;"W",1,IF(F207&lt;&gt;"W",2,IF(G207&lt;&gt;"W",3,IF(H207&lt;&gt;"W",4,5)))))</x:f>
        <x:v>0</x:v>
      </x:c>
      <x:c r="D207" s="18" t="str">
        <x:v>J</x:v>
      </x:c>
      <x:c r="E207" s="18" t="str">
        <x:v>W</x:v>
      </x:c>
      <x:c r="F207" s="18" t="str">
        <x:v>J</x:v>
      </x:c>
      <x:c r="G207" s="18" t="str">
        <x:v>W</x:v>
      </x:c>
      <x:c r="H207" s="18" t="str">
        <x:v>X_WJ</x:v>
      </x:c>
      <x:c r="I207" s="21" t="n">
        <x:f>PRODUCT(VLOOKUP(D207,$A$29:$F$42,2,FALSE),VLOOKUP(E207,$A$29:$F$42,3,FALSE),VLOOKUP(F207,$A$29:$F$42,4,FALSE),VLOOKUP(G207,$A$29:$F$42,5,FALSE),VLOOKUP(H207,$A$29:$F$42,6,FALSE))</x:f>
        <x:v>896</x:v>
      </x:c>
      <x:c r="J207" s="22" t="n">
        <x:f>I207/$N$5</x:f>
        <x:v>0.00028</x:v>
      </x:c>
      <x:c r="K207" s="18" t="n">
        <x:f>MAX(INDEX($I$6:$K$11,MATCH(A207,$H$6:$H$11,0),MATCH(B207&amp;"連線",$I$5:$K$5,0)),IF(C207&gt;=3,INDEX($I$6:$K$11,MATCH("W",$H$6:$H$11,0),MATCH(C207&amp;"連線",$I$5:$K$5,0)),0))</x:f>
        <x:v>20</x:v>
      </x:c>
      <x:c r="L207" s="22" t="n">
        <x:f>J207*K207</x:f>
        <x:v>0.005599999999999999</x:v>
      </x:c>
      <x:c r="M207" s="18" t="str">
        <x:f>IF(K207&gt;INDEX($I$6:$K$11,MATCH(A207,$H$6:$H$11,0),MATCH(B207&amp;"連線",$I$5:$K$5,0)),"取 Wild 連線較高賠率","取一般圖案連線賠率")</x:f>
        <x:v>取一般圖案連線賠率</x:v>
      </x:c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</x:row>
    <x:row r="208">
      <x:c r="A208" s="18" t="str">
        <x:v>J</x:v>
      </x:c>
      <x:c r="B208" s="18" t="n">
        <x:v>4</x:v>
      </x:c>
      <x:c r="C208" s="18" t="n">
        <x:f>IF(D208&lt;&gt;"W",0,IF(E208&lt;&gt;"W",1,IF(F208&lt;&gt;"W",2,IF(G208&lt;&gt;"W",3,IF(H208&lt;&gt;"W",4,5)))))</x:f>
        <x:v>0</x:v>
      </x:c>
      <x:c r="D208" s="18" t="str">
        <x:v>J</x:v>
      </x:c>
      <x:c r="E208" s="18" t="str">
        <x:v>J</x:v>
      </x:c>
      <x:c r="F208" s="18" t="str">
        <x:v>W</x:v>
      </x:c>
      <x:c r="G208" s="18" t="str">
        <x:v>W</x:v>
      </x:c>
      <x:c r="H208" s="18" t="str">
        <x:v>X_WJ</x:v>
      </x:c>
      <x:c r="I208" s="21" t="n">
        <x:f>PRODUCT(VLOOKUP(D208,$A$29:$F$42,2,FALSE),VLOOKUP(E208,$A$29:$F$42,3,FALSE),VLOOKUP(F208,$A$29:$F$42,4,FALSE),VLOOKUP(G208,$A$29:$F$42,5,FALSE),VLOOKUP(H208,$A$29:$F$42,6,FALSE))</x:f>
        <x:v>1120</x:v>
      </x:c>
      <x:c r="J208" s="22" t="n">
        <x:f>I208/$N$5</x:f>
        <x:v>0.00035</x:v>
      </x:c>
      <x:c r="K208" s="18" t="n">
        <x:f>MAX(INDEX($I$6:$K$11,MATCH(A208,$H$6:$H$11,0),MATCH(B208&amp;"連線",$I$5:$K$5,0)),IF(C208&gt;=3,INDEX($I$6:$K$11,MATCH("W",$H$6:$H$11,0),MATCH(C208&amp;"連線",$I$5:$K$5,0)),0))</x:f>
        <x:v>20</x:v>
      </x:c>
      <x:c r="L208" s="22" t="n">
        <x:f>J208*K208</x:f>
        <x:v>0.007</x:v>
      </x:c>
      <x:c r="M208" s="18" t="str">
        <x:f>IF(K208&gt;INDEX($I$6:$K$11,MATCH(A208,$H$6:$H$11,0),MATCH(B208&amp;"連線",$I$5:$K$5,0)),"取 Wild 連線較高賠率","取一般圖案連線賠率")</x:f>
        <x:v>取一般圖案連線賠率</x:v>
      </x:c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</x:row>
    <x:row r="209">
      <x:c r="A209" s="18" t="str">
        <x:v>J</x:v>
      </x:c>
      <x:c r="B209" s="18" t="n">
        <x:v>4</x:v>
      </x:c>
      <x:c r="C209" s="18" t="n">
        <x:f>IF(D209&lt;&gt;"W",0,IF(E209&lt;&gt;"W",1,IF(F209&lt;&gt;"W",2,IF(G209&lt;&gt;"W",3,IF(H209&lt;&gt;"W",4,5)))))</x:f>
        <x:v>3</x:v>
      </x:c>
      <x:c r="D209" s="18" t="str">
        <x:v>W</x:v>
      </x:c>
      <x:c r="E209" s="18" t="str">
        <x:v>W</x:v>
      </x:c>
      <x:c r="F209" s="18" t="str">
        <x:v>W</x:v>
      </x:c>
      <x:c r="G209" s="18" t="str">
        <x:v>J</x:v>
      </x:c>
      <x:c r="H209" s="18" t="str">
        <x:v>X_WJ</x:v>
      </x:c>
      <x:c r="I209" s="21" t="n">
        <x:f>PRODUCT(VLOOKUP(D209,$A$29:$F$42,2,FALSE),VLOOKUP(E209,$A$29:$F$42,3,FALSE),VLOOKUP(F209,$A$29:$F$42,4,FALSE),VLOOKUP(G209,$A$29:$F$42,5,FALSE),VLOOKUP(H209,$A$29:$F$42,6,FALSE))</x:f>
        <x:v>448</x:v>
      </x:c>
      <x:c r="J209" s="22" t="n">
        <x:f>I209/$N$5</x:f>
        <x:v>0.00014</x:v>
      </x:c>
      <x:c r="K209" s="18" t="n">
        <x:f>MAX(INDEX($I$6:$K$11,MATCH(A209,$H$6:$H$11,0),MATCH(B209&amp;"連線",$I$5:$K$5,0)),IF(C209&gt;=3,INDEX($I$6:$K$11,MATCH("W",$H$6:$H$11,0),MATCH(C209&amp;"連線",$I$5:$K$5,0)),0))</x:f>
        <x:v>150</x:v>
      </x:c>
      <x:c r="L209" s="22" t="n">
        <x:f>J209*K209</x:f>
        <x:v>0.020999999999999998</x:v>
      </x:c>
      <x:c r="M209" s="18" t="str">
        <x:f>IF(K209&gt;INDEX($I$6:$K$11,MATCH(A209,$H$6:$H$11,0),MATCH(B209&amp;"連線",$I$5:$K$5,0)),"取 Wild 連線較高賠率","取一般圖案連線賠率")</x:f>
        <x:v>取 Wild 連線較高賠率</x:v>
      </x:c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</x:row>
    <x:row r="210">
      <x:c r="A210" s="18" t="str">
        <x:v>J</x:v>
      </x:c>
      <x:c r="B210" s="18" t="n">
        <x:v>4</x:v>
      </x:c>
      <x:c r="C210" s="18" t="n">
        <x:f>IF(D210&lt;&gt;"W",0,IF(E210&lt;&gt;"W",1,IF(F210&lt;&gt;"W",2,IF(G210&lt;&gt;"W",3,IF(H210&lt;&gt;"W",4,5)))))</x:f>
        <x:v>2</x:v>
      </x:c>
      <x:c r="D210" s="18" t="str">
        <x:v>W</x:v>
      </x:c>
      <x:c r="E210" s="18" t="str">
        <x:v>W</x:v>
      </x:c>
      <x:c r="F210" s="18" t="str">
        <x:v>J</x:v>
      </x:c>
      <x:c r="G210" s="18" t="str">
        <x:v>W</x:v>
      </x:c>
      <x:c r="H210" s="18" t="str">
        <x:v>X_WJ</x:v>
      </x:c>
      <x:c r="I210" s="21" t="n">
        <x:f>PRODUCT(VLOOKUP(D210,$A$29:$F$42,2,FALSE),VLOOKUP(E210,$A$29:$F$42,3,FALSE),VLOOKUP(F210,$A$29:$F$42,4,FALSE),VLOOKUP(G210,$A$29:$F$42,5,FALSE),VLOOKUP(H210,$A$29:$F$42,6,FALSE))</x:f>
        <x:v>448</x:v>
      </x:c>
      <x:c r="J210" s="22" t="n">
        <x:f>I210/$N$5</x:f>
        <x:v>0.00014</x:v>
      </x:c>
      <x:c r="K210" s="18" t="n">
        <x:f>MAX(INDEX($I$6:$K$11,MATCH(A210,$H$6:$H$11,0),MATCH(B210&amp;"連線",$I$5:$K$5,0)),IF(C210&gt;=3,INDEX($I$6:$K$11,MATCH("W",$H$6:$H$11,0),MATCH(C210&amp;"連線",$I$5:$K$5,0)),0))</x:f>
        <x:v>20</x:v>
      </x:c>
      <x:c r="L210" s="22" t="n">
        <x:f>J210*K210</x:f>
        <x:v>0.0027999999999999995</x:v>
      </x:c>
      <x:c r="M210" s="18" t="str">
        <x:f>IF(K210&gt;INDEX($I$6:$K$11,MATCH(A210,$H$6:$H$11,0),MATCH(B210&amp;"連線",$I$5:$K$5,0)),"取 Wild 連線較高賠率","取一般圖案連線賠率")</x:f>
        <x:v>取一般圖案連線賠率</x:v>
      </x:c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</x:row>
    <x:row r="211">
      <x:c r="A211" s="18" t="str">
        <x:v>J</x:v>
      </x:c>
      <x:c r="B211" s="18" t="n">
        <x:v>4</x:v>
      </x:c>
      <x:c r="C211" s="18" t="n">
        <x:f>IF(D211&lt;&gt;"W",0,IF(E211&lt;&gt;"W",1,IF(F211&lt;&gt;"W",2,IF(G211&lt;&gt;"W",3,IF(H211&lt;&gt;"W",4,5)))))</x:f>
        <x:v>1</x:v>
      </x:c>
      <x:c r="D211" s="18" t="str">
        <x:v>W</x:v>
      </x:c>
      <x:c r="E211" s="18" t="str">
        <x:v>J</x:v>
      </x:c>
      <x:c r="F211" s="18" t="str">
        <x:v>W</x:v>
      </x:c>
      <x:c r="G211" s="18" t="str">
        <x:v>W</x:v>
      </x:c>
      <x:c r="H211" s="18" t="str">
        <x:v>X_WJ</x:v>
      </x:c>
      <x:c r="I211" s="21" t="n">
        <x:f>PRODUCT(VLOOKUP(D211,$A$29:$F$42,2,FALSE),VLOOKUP(E211,$A$29:$F$42,3,FALSE),VLOOKUP(F211,$A$29:$F$42,4,FALSE),VLOOKUP(G211,$A$29:$F$42,5,FALSE),VLOOKUP(H211,$A$29:$F$42,6,FALSE))</x:f>
        <x:v>560</x:v>
      </x:c>
      <x:c r="J211" s="22" t="n">
        <x:f>I211/$N$5</x:f>
        <x:v>0.000175</x:v>
      </x:c>
      <x:c r="K211" s="18" t="n">
        <x:f>MAX(INDEX($I$6:$K$11,MATCH(A211,$H$6:$H$11,0),MATCH(B211&amp;"連線",$I$5:$K$5,0)),IF(C211&gt;=3,INDEX($I$6:$K$11,MATCH("W",$H$6:$H$11,0),MATCH(C211&amp;"連線",$I$5:$K$5,0)),0))</x:f>
        <x:v>20</x:v>
      </x:c>
      <x:c r="L211" s="22" t="n">
        <x:f>J211*K211</x:f>
        <x:v>0.0035</x:v>
      </x:c>
      <x:c r="M211" s="18" t="str">
        <x:f>IF(K211&gt;INDEX($I$6:$K$11,MATCH(A211,$H$6:$H$11,0),MATCH(B211&amp;"連線",$I$5:$K$5,0)),"取 Wild 連線較高賠率","取一般圖案連線賠率")</x:f>
        <x:v>取一般圖案連線賠率</x:v>
      </x:c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</x:row>
    <x:row r="212">
      <x:c r="A212" s="18" t="str">
        <x:v>J</x:v>
      </x:c>
      <x:c r="B212" s="18" t="n">
        <x:v>4</x:v>
      </x:c>
      <x:c r="C212" s="18" t="n">
        <x:f>IF(D212&lt;&gt;"W",0,IF(E212&lt;&gt;"W",1,IF(F212&lt;&gt;"W",2,IF(G212&lt;&gt;"W",3,IF(H212&lt;&gt;"W",4,5)))))</x:f>
        <x:v>0</x:v>
      </x:c>
      <x:c r="D212" s="18" t="str">
        <x:v>J</x:v>
      </x:c>
      <x:c r="E212" s="18" t="str">
        <x:v>W</x:v>
      </x:c>
      <x:c r="F212" s="18" t="str">
        <x:v>W</x:v>
      </x:c>
      <x:c r="G212" s="18" t="str">
        <x:v>W</x:v>
      </x:c>
      <x:c r="H212" s="18" t="str">
        <x:v>X_WJ</x:v>
      </x:c>
      <x:c r="I212" s="21" t="n">
        <x:f>PRODUCT(VLOOKUP(D212,$A$29:$F$42,2,FALSE),VLOOKUP(E212,$A$29:$F$42,3,FALSE),VLOOKUP(F212,$A$29:$F$42,4,FALSE),VLOOKUP(G212,$A$29:$F$42,5,FALSE),VLOOKUP(H212,$A$29:$F$42,6,FALSE))</x:f>
        <x:v>448</x:v>
      </x:c>
      <x:c r="J212" s="22" t="n">
        <x:f>I212/$N$5</x:f>
        <x:v>0.00014</x:v>
      </x:c>
      <x:c r="K212" s="18" t="n">
        <x:f>MAX(INDEX($I$6:$K$11,MATCH(A212,$H$6:$H$11,0),MATCH(B212&amp;"連線",$I$5:$K$5,0)),IF(C212&gt;=3,INDEX($I$6:$K$11,MATCH("W",$H$6:$H$11,0),MATCH(C212&amp;"連線",$I$5:$K$5,0)),0))</x:f>
        <x:v>20</x:v>
      </x:c>
      <x:c r="L212" s="22" t="n">
        <x:f>J212*K212</x:f>
        <x:v>0.0027999999999999995</x:v>
      </x:c>
      <x:c r="M212" s="18" t="str">
        <x:f>IF(K212&gt;INDEX($I$6:$K$11,MATCH(A212,$H$6:$H$11,0),MATCH(B212&amp;"連線",$I$5:$K$5,0)),"取 Wild 連線較高賠率","取一般圖案連線賠率")</x:f>
        <x:v>取一般圖案連線賠率</x:v>
      </x:c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</x:row>
    <x:row r="213">
      <x:c r="A213" s="18" t="str">
        <x:v>J</x:v>
      </x:c>
      <x:c r="B213" s="18" t="n">
        <x:v>4</x:v>
      </x:c>
      <x:c r="C213" s="18" t="n">
        <x:f>IF(D213&lt;&gt;"W",0,IF(E213&lt;&gt;"W",1,IF(F213&lt;&gt;"W",2,IF(G213&lt;&gt;"W",3,IF(H213&lt;&gt;"W",4,5)))))</x:f>
        <x:v>4</x:v>
      </x:c>
      <x:c r="D213" s="18" t="str">
        <x:v>W</x:v>
      </x:c>
      <x:c r="E213" s="18" t="str">
        <x:v>W</x:v>
      </x:c>
      <x:c r="F213" s="18" t="str">
        <x:v>W</x:v>
      </x:c>
      <x:c r="G213" s="18" t="str">
        <x:v>W</x:v>
      </x:c>
      <x:c r="H213" s="18" t="str">
        <x:v>X_WJ</x:v>
      </x:c>
      <x:c r="I213" s="21" t="n">
        <x:f>PRODUCT(VLOOKUP(D213,$A$29:$F$42,2,FALSE),VLOOKUP(E213,$A$29:$F$42,3,FALSE),VLOOKUP(F213,$A$29:$F$42,4,FALSE),VLOOKUP(G213,$A$29:$F$42,5,FALSE),VLOOKUP(H213,$A$29:$F$42,6,FALSE))</x:f>
        <x:v>224</x:v>
      </x:c>
      <x:c r="J213" s="22" t="n">
        <x:f>I213/$N$5</x:f>
        <x:v>0.00007</x:v>
      </x:c>
      <x:c r="K213" s="18" t="n">
        <x:f>MAX(INDEX($I$6:$K$11,MATCH(A213,$H$6:$H$11,0),MATCH(B213&amp;"連線",$I$5:$K$5,0)),IF(C213&gt;=3,INDEX($I$6:$K$11,MATCH("W",$H$6:$H$11,0),MATCH(C213&amp;"連線",$I$5:$K$5,0)),0))</x:f>
        <x:v>300</x:v>
      </x:c>
      <x:c r="L213" s="22" t="n">
        <x:f>J213*K213</x:f>
        <x:v>0.020999999999999998</x:v>
      </x:c>
      <x:c r="M213" s="18" t="str">
        <x:f>IF(K213&gt;INDEX($I$6:$K$11,MATCH(A213,$H$6:$H$11,0),MATCH(B213&amp;"連線",$I$5:$K$5,0)),"取 Wild 連線較高賠率","取一般圖案連線賠率")</x:f>
        <x:v>取 Wild 連線較高賠率</x:v>
      </x:c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</x:row>
    <x:row r="214">
      <x:c r="A214" s="18" t="str">
        <x:v>J</x:v>
      </x:c>
      <x:c r="B214" s="18" t="n">
        <x:v>3</x:v>
      </x:c>
      <x:c r="C214" s="18" t="n">
        <x:f>IF(D214&lt;&gt;"W",0,IF(E214&lt;&gt;"W",1,IF(F214&lt;&gt;"W",2,IF(G214&lt;&gt;"W",3,IF(H214&lt;&gt;"W",4,5)))))</x:f>
        <x:v>1</x:v>
      </x:c>
      <x:c r="D214" s="18" t="str">
        <x:v>W</x:v>
      </x:c>
      <x:c r="E214" s="18" t="str">
        <x:v>J</x:v>
      </x:c>
      <x:c r="F214" s="18" t="str">
        <x:v>J</x:v>
      </x:c>
      <x:c r="G214" s="18" t="str">
        <x:v>X_WJ</x:v>
      </x:c>
      <x:c r="H214" s="18" t="str">
        <x:v>any</x:v>
      </x:c>
      <x:c r="I214" s="21" t="n">
        <x:f>PRODUCT(VLOOKUP(D214,$A$29:$F$42,2,FALSE),VLOOKUP(E214,$A$29:$F$42,3,FALSE),VLOOKUP(F214,$A$29:$F$42,4,FALSE),VLOOKUP(G214,$A$29:$F$42,5,FALSE),VLOOKUP(H214,$A$29:$F$42,6,FALSE))</x:f>
        <x:v>11200</x:v>
      </x:c>
      <x:c r="J214" s="22" t="n">
        <x:f>I214/$N$5</x:f>
        <x:v>0.0035</x:v>
      </x:c>
      <x:c r="K214" s="18" t="n">
        <x:f>MAX(INDEX($I$6:$K$11,MATCH(A214,$H$6:$H$11,0),MATCH(B214&amp;"連線",$I$5:$K$5,0)),IF(C214&gt;=3,INDEX($I$6:$K$11,MATCH("W",$H$6:$H$11,0),MATCH(C214&amp;"連線",$I$5:$K$5,0)),0))</x:f>
        <x:v>5</x:v>
      </x:c>
      <x:c r="L214" s="22" t="n">
        <x:f>J214*K214</x:f>
        <x:v>0.0175</x:v>
      </x:c>
      <x:c r="M214" s="18" t="str">
        <x:f>IF(K214&gt;INDEX($I$6:$K$11,MATCH(A214,$H$6:$H$11,0),MATCH(B214&amp;"連線",$I$5:$K$5,0)),"取 Wild 連線較高賠率","取一般圖案連線賠率")</x:f>
        <x:v>取一般圖案連線賠率</x:v>
      </x:c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</x:row>
    <x:row r="215">
      <x:c r="A215" s="18" t="str">
        <x:v>J</x:v>
      </x:c>
      <x:c r="B215" s="18" t="n">
        <x:v>3</x:v>
      </x:c>
      <x:c r="C215" s="18" t="n">
        <x:f>IF(D215&lt;&gt;"W",0,IF(E215&lt;&gt;"W",1,IF(F215&lt;&gt;"W",2,IF(G215&lt;&gt;"W",3,IF(H215&lt;&gt;"W",4,5)))))</x:f>
        <x:v>0</x:v>
      </x:c>
      <x:c r="D215" s="18" t="str">
        <x:v>J</x:v>
      </x:c>
      <x:c r="E215" s="18" t="str">
        <x:v>W</x:v>
      </x:c>
      <x:c r="F215" s="18" t="str">
        <x:v>J</x:v>
      </x:c>
      <x:c r="G215" s="18" t="str">
        <x:v>X_WJ</x:v>
      </x:c>
      <x:c r="H215" s="18" t="str">
        <x:v>any</x:v>
      </x:c>
      <x:c r="I215" s="21" t="n">
        <x:f>PRODUCT(VLOOKUP(D215,$A$29:$F$42,2,FALSE),VLOOKUP(E215,$A$29:$F$42,3,FALSE),VLOOKUP(F215,$A$29:$F$42,4,FALSE),VLOOKUP(G215,$A$29:$F$42,5,FALSE),VLOOKUP(H215,$A$29:$F$42,6,FALSE))</x:f>
        <x:v>8960</x:v>
      </x:c>
      <x:c r="J215" s="22" t="n">
        <x:f>I215/$N$5</x:f>
        <x:v>0.0028</x:v>
      </x:c>
      <x:c r="K215" s="18" t="n">
        <x:f>MAX(INDEX($I$6:$K$11,MATCH(A215,$H$6:$H$11,0),MATCH(B215&amp;"連線",$I$5:$K$5,0)),IF(C215&gt;=3,INDEX($I$6:$K$11,MATCH("W",$H$6:$H$11,0),MATCH(C215&amp;"連線",$I$5:$K$5,0)),0))</x:f>
        <x:v>5</x:v>
      </x:c>
      <x:c r="L215" s="22" t="n">
        <x:f>J215*K215</x:f>
        <x:v>0.014</x:v>
      </x:c>
      <x:c r="M215" s="18" t="str">
        <x:f>IF(K215&gt;INDEX($I$6:$K$11,MATCH(A215,$H$6:$H$11,0),MATCH(B215&amp;"連線",$I$5:$K$5,0)),"取 Wild 連線較高賠率","取一般圖案連線賠率")</x:f>
        <x:v>取一般圖案連線賠率</x:v>
      </x:c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</x:row>
    <x:row r="216">
      <x:c r="A216" s="18" t="str">
        <x:v>J</x:v>
      </x:c>
      <x:c r="B216" s="18" t="n">
        <x:v>3</x:v>
      </x:c>
      <x:c r="C216" s="18" t="n">
        <x:f>IF(D216&lt;&gt;"W",0,IF(E216&lt;&gt;"W",1,IF(F216&lt;&gt;"W",2,IF(G216&lt;&gt;"W",3,IF(H216&lt;&gt;"W",4,5)))))</x:f>
        <x:v>0</x:v>
      </x:c>
      <x:c r="D216" s="18" t="str">
        <x:v>J</x:v>
      </x:c>
      <x:c r="E216" s="18" t="str">
        <x:v>J</x:v>
      </x:c>
      <x:c r="F216" s="18" t="str">
        <x:v>W</x:v>
      </x:c>
      <x:c r="G216" s="18" t="str">
        <x:v>X_WJ</x:v>
      </x:c>
      <x:c r="H216" s="18" t="str">
        <x:v>any</x:v>
      </x:c>
      <x:c r="I216" s="21" t="n">
        <x:f>PRODUCT(VLOOKUP(D216,$A$29:$F$42,2,FALSE),VLOOKUP(E216,$A$29:$F$42,3,FALSE),VLOOKUP(F216,$A$29:$F$42,4,FALSE),VLOOKUP(G216,$A$29:$F$42,5,FALSE),VLOOKUP(H216,$A$29:$F$42,6,FALSE))</x:f>
        <x:v>11200</x:v>
      </x:c>
      <x:c r="J216" s="22" t="n">
        <x:f>I216/$N$5</x:f>
        <x:v>0.0035</x:v>
      </x:c>
      <x:c r="K216" s="18" t="n">
        <x:f>MAX(INDEX($I$6:$K$11,MATCH(A216,$H$6:$H$11,0),MATCH(B216&amp;"連線",$I$5:$K$5,0)),IF(C216&gt;=3,INDEX($I$6:$K$11,MATCH("W",$H$6:$H$11,0),MATCH(C216&amp;"連線",$I$5:$K$5,0)),0))</x:f>
        <x:v>5</x:v>
      </x:c>
      <x:c r="L216" s="22" t="n">
        <x:f>J216*K216</x:f>
        <x:v>0.0175</x:v>
      </x:c>
      <x:c r="M216" s="18" t="str">
        <x:f>IF(K216&gt;INDEX($I$6:$K$11,MATCH(A216,$H$6:$H$11,0),MATCH(B216&amp;"連線",$I$5:$K$5,0)),"取 Wild 連線較高賠率","取一般圖案連線賠率")</x:f>
        <x:v>取一般圖案連線賠率</x:v>
      </x:c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>
      <x:c r="A217" s="18" t="str">
        <x:v>J</x:v>
      </x:c>
      <x:c r="B217" s="18" t="n">
        <x:v>3</x:v>
      </x:c>
      <x:c r="C217" s="18" t="n">
        <x:f>IF(D217&lt;&gt;"W",0,IF(E217&lt;&gt;"W",1,IF(F217&lt;&gt;"W",2,IF(G217&lt;&gt;"W",3,IF(H217&lt;&gt;"W",4,5)))))</x:f>
        <x:v>2</x:v>
      </x:c>
      <x:c r="D217" s="18" t="str">
        <x:v>W</x:v>
      </x:c>
      <x:c r="E217" s="18" t="str">
        <x:v>W</x:v>
      </x:c>
      <x:c r="F217" s="18" t="str">
        <x:v>J</x:v>
      </x:c>
      <x:c r="G217" s="18" t="str">
        <x:v>X_WJ</x:v>
      </x:c>
      <x:c r="H217" s="18" t="str">
        <x:v>any</x:v>
      </x:c>
      <x:c r="I217" s="21" t="n">
        <x:f>PRODUCT(VLOOKUP(D217,$A$29:$F$42,2,FALSE),VLOOKUP(E217,$A$29:$F$42,3,FALSE),VLOOKUP(F217,$A$29:$F$42,4,FALSE),VLOOKUP(G217,$A$29:$F$42,5,FALSE),VLOOKUP(H217,$A$29:$F$42,6,FALSE))</x:f>
        <x:v>4480</x:v>
      </x:c>
      <x:c r="J217" s="22" t="n">
        <x:f>I217/$N$5</x:f>
        <x:v>0.0014</x:v>
      </x:c>
      <x:c r="K217" s="18" t="n">
        <x:f>MAX(INDEX($I$6:$K$11,MATCH(A217,$H$6:$H$11,0),MATCH(B217&amp;"連線",$I$5:$K$5,0)),IF(C217&gt;=3,INDEX($I$6:$K$11,MATCH("W",$H$6:$H$11,0),MATCH(C217&amp;"連線",$I$5:$K$5,0)),0))</x:f>
        <x:v>5</x:v>
      </x:c>
      <x:c r="L217" s="22" t="n">
        <x:f>J217*K217</x:f>
        <x:v>0.007</x:v>
      </x:c>
      <x:c r="M217" s="18" t="str">
        <x:f>IF(K217&gt;INDEX($I$6:$K$11,MATCH(A217,$H$6:$H$11,0),MATCH(B217&amp;"連線",$I$5:$K$5,0)),"取 Wild 連線較高賠率","取一般圖案連線賠率")</x:f>
        <x:v>取一般圖案連線賠率</x:v>
      </x:c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</x:row>
    <x:row r="218">
      <x:c r="A218" s="18" t="str">
        <x:v>J</x:v>
      </x:c>
      <x:c r="B218" s="18" t="n">
        <x:v>3</x:v>
      </x:c>
      <x:c r="C218" s="18" t="n">
        <x:f>IF(D218&lt;&gt;"W",0,IF(E218&lt;&gt;"W",1,IF(F218&lt;&gt;"W",2,IF(G218&lt;&gt;"W",3,IF(H218&lt;&gt;"W",4,5)))))</x:f>
        <x:v>1</x:v>
      </x:c>
      <x:c r="D218" s="18" t="str">
        <x:v>W</x:v>
      </x:c>
      <x:c r="E218" s="18" t="str">
        <x:v>J</x:v>
      </x:c>
      <x:c r="F218" s="18" t="str">
        <x:v>W</x:v>
      </x:c>
      <x:c r="G218" s="18" t="str">
        <x:v>X_WJ</x:v>
      </x:c>
      <x:c r="H218" s="18" t="str">
        <x:v>any</x:v>
      </x:c>
      <x:c r="I218" s="21" t="n">
        <x:f>PRODUCT(VLOOKUP(D218,$A$29:$F$42,2,FALSE),VLOOKUP(E218,$A$29:$F$42,3,FALSE),VLOOKUP(F218,$A$29:$F$42,4,FALSE),VLOOKUP(G218,$A$29:$F$42,5,FALSE),VLOOKUP(H218,$A$29:$F$42,6,FALSE))</x:f>
        <x:v>5600</x:v>
      </x:c>
      <x:c r="J218" s="22" t="n">
        <x:f>I218/$N$5</x:f>
        <x:v>0.00175</x:v>
      </x:c>
      <x:c r="K218" s="18" t="n">
        <x:f>MAX(INDEX($I$6:$K$11,MATCH(A218,$H$6:$H$11,0),MATCH(B218&amp;"連線",$I$5:$K$5,0)),IF(C218&gt;=3,INDEX($I$6:$K$11,MATCH("W",$H$6:$H$11,0),MATCH(C218&amp;"連線",$I$5:$K$5,0)),0))</x:f>
        <x:v>5</x:v>
      </x:c>
      <x:c r="L218" s="22" t="n">
        <x:f>J218*K218</x:f>
        <x:v>0.00875</x:v>
      </x:c>
      <x:c r="M218" s="18" t="str">
        <x:f>IF(K218&gt;INDEX($I$6:$K$11,MATCH(A218,$H$6:$H$11,0),MATCH(B218&amp;"連線",$I$5:$K$5,0)),"取 Wild 連線較高賠率","取一般圖案連線賠率")</x:f>
        <x:v>取一般圖案連線賠率</x:v>
      </x:c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</x:row>
    <x:row r="219">
      <x:c r="A219" s="18" t="str">
        <x:v>J</x:v>
      </x:c>
      <x:c r="B219" s="18" t="n">
        <x:v>3</x:v>
      </x:c>
      <x:c r="C219" s="18" t="n">
        <x:f>IF(D219&lt;&gt;"W",0,IF(E219&lt;&gt;"W",1,IF(F219&lt;&gt;"W",2,IF(G219&lt;&gt;"W",3,IF(H219&lt;&gt;"W",4,5)))))</x:f>
        <x:v>0</x:v>
      </x:c>
      <x:c r="D219" s="18" t="str">
        <x:v>J</x:v>
      </x:c>
      <x:c r="E219" s="18" t="str">
        <x:v>W</x:v>
      </x:c>
      <x:c r="F219" s="18" t="str">
        <x:v>W</x:v>
      </x:c>
      <x:c r="G219" s="18" t="str">
        <x:v>X_WJ</x:v>
      </x:c>
      <x:c r="H219" s="18" t="str">
        <x:v>any</x:v>
      </x:c>
      <x:c r="I219" s="21" t="n">
        <x:f>PRODUCT(VLOOKUP(D219,$A$29:$F$42,2,FALSE),VLOOKUP(E219,$A$29:$F$42,3,FALSE),VLOOKUP(F219,$A$29:$F$42,4,FALSE),VLOOKUP(G219,$A$29:$F$42,5,FALSE),VLOOKUP(H219,$A$29:$F$42,6,FALSE))</x:f>
        <x:v>4480</x:v>
      </x:c>
      <x:c r="J219" s="22" t="n">
        <x:f>I219/$N$5</x:f>
        <x:v>0.0014</x:v>
      </x:c>
      <x:c r="K219" s="18" t="n">
        <x:f>MAX(INDEX($I$6:$K$11,MATCH(A219,$H$6:$H$11,0),MATCH(B219&amp;"連線",$I$5:$K$5,0)),IF(C219&gt;=3,INDEX($I$6:$K$11,MATCH("W",$H$6:$H$11,0),MATCH(C219&amp;"連線",$I$5:$K$5,0)),0))</x:f>
        <x:v>5</x:v>
      </x:c>
      <x:c r="L219" s="22" t="n">
        <x:f>J219*K219</x:f>
        <x:v>0.007</x:v>
      </x:c>
      <x:c r="M219" s="18" t="str">
        <x:f>IF(K219&gt;INDEX($I$6:$K$11,MATCH(A219,$H$6:$H$11,0),MATCH(B219&amp;"連線",$I$5:$K$5,0)),"取 Wild 連線較高賠率","取一般圖案連線賠率")</x:f>
        <x:v>取一般圖案連線賠率</x:v>
      </x:c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</x:row>
    <x:row r="220">
      <x:c r="A220" s="18" t="str">
        <x:v>J</x:v>
      </x:c>
      <x:c r="B220" s="18" t="n">
        <x:v>3</x:v>
      </x:c>
      <x:c r="C220" s="18" t="n">
        <x:f>IF(D220&lt;&gt;"W",0,IF(E220&lt;&gt;"W",1,IF(F220&lt;&gt;"W",2,IF(G220&lt;&gt;"W",3,IF(H220&lt;&gt;"W",4,5)))))</x:f>
        <x:v>3</x:v>
      </x:c>
      <x:c r="D220" s="18" t="str">
        <x:v>W</x:v>
      </x:c>
      <x:c r="E220" s="18" t="str">
        <x:v>W</x:v>
      </x:c>
      <x:c r="F220" s="18" t="str">
        <x:v>W</x:v>
      </x:c>
      <x:c r="G220" s="18" t="str">
        <x:v>X_WJ</x:v>
      </x:c>
      <x:c r="H220" s="18" t="str">
        <x:v>any</x:v>
      </x:c>
      <x:c r="I220" s="21" t="n">
        <x:f>PRODUCT(VLOOKUP(D220,$A$29:$F$42,2,FALSE),VLOOKUP(E220,$A$29:$F$42,3,FALSE),VLOOKUP(F220,$A$29:$F$42,4,FALSE),VLOOKUP(G220,$A$29:$F$42,5,FALSE),VLOOKUP(H220,$A$29:$F$42,6,FALSE))</x:f>
        <x:v>2240</x:v>
      </x:c>
      <x:c r="J220" s="22" t="n">
        <x:f>I220/$N$5</x:f>
        <x:v>0.0007</x:v>
      </x:c>
      <x:c r="K220" s="18" t="n">
        <x:f>MAX(INDEX($I$6:$K$11,MATCH(A220,$H$6:$H$11,0),MATCH(B220&amp;"連線",$I$5:$K$5,0)),IF(C220&gt;=3,INDEX($I$6:$K$11,MATCH("W",$H$6:$H$11,0),MATCH(C220&amp;"連線",$I$5:$K$5,0)),0))</x:f>
        <x:v>150</x:v>
      </x:c>
      <x:c r="L220" s="22" t="n">
        <x:f>J220*K220</x:f>
        <x:v>0.105</x:v>
      </x:c>
      <x:c r="M220" s="18" t="str">
        <x:f>IF(K220&gt;INDEX($I$6:$K$11,MATCH(A220,$H$6:$H$11,0),MATCH(B220&amp;"連線",$I$5:$K$5,0)),"取 Wild 連線較高賠率","取一般圖案連線賠率")</x:f>
        <x:v>取 Wild 連線較高賠率</x:v>
      </x:c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</x:row>
    <x:row r="221">
      <x:c r="A221" s="18" t="str">
        <x:v>10</x:v>
      </x:c>
      <x:c r="B221" s="18" t="n">
        <x:v>5</x:v>
      </x:c>
      <x:c r="C221" s="18" t="n">
        <x:f>IF(D221&lt;&gt;"W",0,IF(E221&lt;&gt;"W",1,IF(F221&lt;&gt;"W",2,IF(G221&lt;&gt;"W",3,IF(H221&lt;&gt;"W",4,5)))))</x:f>
        <x:v>1</x:v>
      </x:c>
      <x:c r="D221" s="18" t="str">
        <x:v>W</x:v>
      </x:c>
      <x:c r="E221" s="18" t="str">
        <x:v>10</x:v>
      </x:c>
      <x:c r="F221" s="18" t="str">
        <x:v>10</x:v>
      </x:c>
      <x:c r="G221" s="18" t="str">
        <x:v>10</x:v>
      </x:c>
      <x:c r="H221" s="18" t="str">
        <x:v>10</x:v>
      </x:c>
      <x:c r="I221" s="21" t="n">
        <x:f>PRODUCT(VLOOKUP(D221,$A$29:$F$42,2,FALSE),VLOOKUP(E221,$A$29:$F$42,3,FALSE),VLOOKUP(F221,$A$29:$F$42,4,FALSE),VLOOKUP(G221,$A$29:$F$42,5,FALSE),VLOOKUP(H221,$A$29:$F$42,6,FALSE))</x:f>
        <x:v>384</x:v>
      </x:c>
      <x:c r="J221" s="22" t="n">
        <x:f>I221/$N$5</x:f>
        <x:v>0.00012</x:v>
      </x:c>
      <x:c r="K221" s="18" t="n">
        <x:f>MAX(INDEX($I$6:$K$11,MATCH(A221,$H$6:$H$11,0),MATCH(B221&amp;"連線",$I$5:$K$5,0)),IF(C221&gt;=3,INDEX($I$6:$K$11,MATCH("W",$H$6:$H$11,0),MATCH(C221&amp;"連線",$I$5:$K$5,0)),0))</x:f>
        <x:v>75</x:v>
      </x:c>
      <x:c r="L221" s="22" t="n">
        <x:f>J221*K221</x:f>
        <x:v>0.009000000000000001</x:v>
      </x:c>
      <x:c r="M221" s="18" t="str">
        <x:f>IF(K221&gt;INDEX($I$6:$K$11,MATCH(A221,$H$6:$H$11,0),MATCH(B221&amp;"連線",$I$5:$K$5,0)),"取 Wild 連線較高賠率","取一般圖案連線賠率")</x:f>
        <x:v>取一般圖案連線賠率</x:v>
      </x:c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</x:row>
    <x:row r="222">
      <x:c r="A222" s="18" t="str">
        <x:v>10</x:v>
      </x:c>
      <x:c r="B222" s="18" t="n">
        <x:v>5</x:v>
      </x:c>
      <x:c r="C222" s="18" t="n">
        <x:f>IF(D222&lt;&gt;"W",0,IF(E222&lt;&gt;"W",1,IF(F222&lt;&gt;"W",2,IF(G222&lt;&gt;"W",3,IF(H222&lt;&gt;"W",4,5)))))</x:f>
        <x:v>0</x:v>
      </x:c>
      <x:c r="D222" s="18" t="str">
        <x:v>10</x:v>
      </x:c>
      <x:c r="E222" s="18" t="str">
        <x:v>W</x:v>
      </x:c>
      <x:c r="F222" s="18" t="str">
        <x:v>10</x:v>
      </x:c>
      <x:c r="G222" s="18" t="str">
        <x:v>10</x:v>
      </x:c>
      <x:c r="H222" s="18" t="str">
        <x:v>10</x:v>
      </x:c>
      <x:c r="I222" s="21" t="n">
        <x:f>PRODUCT(VLOOKUP(D222,$A$29:$F$42,2,FALSE),VLOOKUP(E222,$A$29:$F$42,3,FALSE),VLOOKUP(F222,$A$29:$F$42,4,FALSE),VLOOKUP(G222,$A$29:$F$42,5,FALSE),VLOOKUP(H222,$A$29:$F$42,6,FALSE))</x:f>
        <x:v>640</x:v>
      </x:c>
      <x:c r="J222" s="22" t="n">
        <x:f>I222/$N$5</x:f>
        <x:v>0.0002</x:v>
      </x:c>
      <x:c r="K222" s="18" t="n">
        <x:f>MAX(INDEX($I$6:$K$11,MATCH(A222,$H$6:$H$11,0),MATCH(B222&amp;"連線",$I$5:$K$5,0)),IF(C222&gt;=3,INDEX($I$6:$K$11,MATCH("W",$H$6:$H$11,0),MATCH(C222&amp;"連線",$I$5:$K$5,0)),0))</x:f>
        <x:v>75</x:v>
      </x:c>
      <x:c r="L222" s="22" t="n">
        <x:f>J222*K222</x:f>
        <x:v>0.015000000000000001</x:v>
      </x:c>
      <x:c r="M222" s="18" t="str">
        <x:f>IF(K222&gt;INDEX($I$6:$K$11,MATCH(A222,$H$6:$H$11,0),MATCH(B222&amp;"連線",$I$5:$K$5,0)),"取 Wild 連線較高賠率","取一般圖案連線賠率")</x:f>
        <x:v>取一般圖案連線賠率</x:v>
      </x:c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</x:row>
    <x:row r="223">
      <x:c r="A223" s="18" t="str">
        <x:v>10</x:v>
      </x:c>
      <x:c r="B223" s="18" t="n">
        <x:v>5</x:v>
      </x:c>
      <x:c r="C223" s="18" t="n">
        <x:f>IF(D223&lt;&gt;"W",0,IF(E223&lt;&gt;"W",1,IF(F223&lt;&gt;"W",2,IF(G223&lt;&gt;"W",3,IF(H223&lt;&gt;"W",4,5)))))</x:f>
        <x:v>0</x:v>
      </x:c>
      <x:c r="D223" s="18" t="str">
        <x:v>10</x:v>
      </x:c>
      <x:c r="E223" s="18" t="str">
        <x:v>10</x:v>
      </x:c>
      <x:c r="F223" s="18" t="str">
        <x:v>W</x:v>
      </x:c>
      <x:c r="G223" s="18" t="str">
        <x:v>10</x:v>
      </x:c>
      <x:c r="H223" s="18" t="str">
        <x:v>10</x:v>
      </x:c>
      <x:c r="I223" s="21" t="n">
        <x:f>PRODUCT(VLOOKUP(D223,$A$29:$F$42,2,FALSE),VLOOKUP(E223,$A$29:$F$42,3,FALSE),VLOOKUP(F223,$A$29:$F$42,4,FALSE),VLOOKUP(G223,$A$29:$F$42,5,FALSE),VLOOKUP(H223,$A$29:$F$42,6,FALSE))</x:f>
        <x:v>480</x:v>
      </x:c>
      <x:c r="J223" s="22" t="n">
        <x:f>I223/$N$5</x:f>
        <x:v>0.00015</x:v>
      </x:c>
      <x:c r="K223" s="18" t="n">
        <x:f>MAX(INDEX($I$6:$K$11,MATCH(A223,$H$6:$H$11,0),MATCH(B223&amp;"連線",$I$5:$K$5,0)),IF(C223&gt;=3,INDEX($I$6:$K$11,MATCH("W",$H$6:$H$11,0),MATCH(C223&amp;"連線",$I$5:$K$5,0)),0))</x:f>
        <x:v>75</x:v>
      </x:c>
      <x:c r="L223" s="22" t="n">
        <x:f>J223*K223</x:f>
        <x:v>0.01125</x:v>
      </x:c>
      <x:c r="M223" s="18" t="str">
        <x:f>IF(K223&gt;INDEX($I$6:$K$11,MATCH(A223,$H$6:$H$11,0),MATCH(B223&amp;"連線",$I$5:$K$5,0)),"取 Wild 連線較高賠率","取一般圖案連線賠率")</x:f>
        <x:v>取一般圖案連線賠率</x:v>
      </x:c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</x:row>
    <x:row r="224">
      <x:c r="A224" s="18" t="str">
        <x:v>10</x:v>
      </x:c>
      <x:c r="B224" s="18" t="n">
        <x:v>5</x:v>
      </x:c>
      <x:c r="C224" s="18" t="n">
        <x:f>IF(D224&lt;&gt;"W",0,IF(E224&lt;&gt;"W",1,IF(F224&lt;&gt;"W",2,IF(G224&lt;&gt;"W",3,IF(H224&lt;&gt;"W",4,5)))))</x:f>
        <x:v>0</x:v>
      </x:c>
      <x:c r="D224" s="18" t="str">
        <x:v>10</x:v>
      </x:c>
      <x:c r="E224" s="18" t="str">
        <x:v>10</x:v>
      </x:c>
      <x:c r="F224" s="18" t="str">
        <x:v>10</x:v>
      </x:c>
      <x:c r="G224" s="18" t="str">
        <x:v>W</x:v>
      </x:c>
      <x:c r="H224" s="18" t="str">
        <x:v>10</x:v>
      </x:c>
      <x:c r="I224" s="21" t="n">
        <x:f>PRODUCT(VLOOKUP(D224,$A$29:$F$42,2,FALSE),VLOOKUP(E224,$A$29:$F$42,3,FALSE),VLOOKUP(F224,$A$29:$F$42,4,FALSE),VLOOKUP(G224,$A$29:$F$42,5,FALSE),VLOOKUP(H224,$A$29:$F$42,6,FALSE))</x:f>
        <x:v>480</x:v>
      </x:c>
      <x:c r="J224" s="22" t="n">
        <x:f>I224/$N$5</x:f>
        <x:v>0.00015</x:v>
      </x:c>
      <x:c r="K224" s="18" t="n">
        <x:f>MAX(INDEX($I$6:$K$11,MATCH(A224,$H$6:$H$11,0),MATCH(B224&amp;"連線",$I$5:$K$5,0)),IF(C224&gt;=3,INDEX($I$6:$K$11,MATCH("W",$H$6:$H$11,0),MATCH(C224&amp;"連線",$I$5:$K$5,0)),0))</x:f>
        <x:v>75</x:v>
      </x:c>
      <x:c r="L224" s="22" t="n">
        <x:f>J224*K224</x:f>
        <x:v>0.01125</x:v>
      </x:c>
      <x:c r="M224" s="18" t="str">
        <x:f>IF(K224&gt;INDEX($I$6:$K$11,MATCH(A224,$H$6:$H$11,0),MATCH(B224&amp;"連線",$I$5:$K$5,0)),"取 Wild 連線較高賠率","取一般圖案連線賠率")</x:f>
        <x:v>取一般圖案連線賠率</x:v>
      </x:c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</x:row>
    <x:row r="225">
      <x:c r="A225" s="18" t="str">
        <x:v>10</x:v>
      </x:c>
      <x:c r="B225" s="18" t="n">
        <x:v>5</x:v>
      </x:c>
      <x:c r="C225" s="18" t="n">
        <x:f>IF(D225&lt;&gt;"W",0,IF(E225&lt;&gt;"W",1,IF(F225&lt;&gt;"W",2,IF(G225&lt;&gt;"W",3,IF(H225&lt;&gt;"W",4,5)))))</x:f>
        <x:v>0</x:v>
      </x:c>
      <x:c r="D225" s="18" t="str">
        <x:v>10</x:v>
      </x:c>
      <x:c r="E225" s="18" t="str">
        <x:v>10</x:v>
      </x:c>
      <x:c r="F225" s="18" t="str">
        <x:v>10</x:v>
      </x:c>
      <x:c r="G225" s="18" t="str">
        <x:v>10</x:v>
      </x:c>
      <x:c r="H225" s="18" t="str">
        <x:v>W</x:v>
      </x:c>
      <x:c r="I225" s="21" t="n">
        <x:f>PRODUCT(VLOOKUP(D225,$A$29:$F$42,2,FALSE),VLOOKUP(E225,$A$29:$F$42,3,FALSE),VLOOKUP(F225,$A$29:$F$42,4,FALSE),VLOOKUP(G225,$A$29:$F$42,5,FALSE),VLOOKUP(H225,$A$29:$F$42,6,FALSE))</x:f>
        <x:v>480</x:v>
      </x:c>
      <x:c r="J225" s="22" t="n">
        <x:f>I225/$N$5</x:f>
        <x:v>0.00015</x:v>
      </x:c>
      <x:c r="K225" s="18" t="n">
        <x:f>MAX(INDEX($I$6:$K$11,MATCH(A225,$H$6:$H$11,0),MATCH(B225&amp;"連線",$I$5:$K$5,0)),IF(C225&gt;=3,INDEX($I$6:$K$11,MATCH("W",$H$6:$H$11,0),MATCH(C225&amp;"連線",$I$5:$K$5,0)),0))</x:f>
        <x:v>75</x:v>
      </x:c>
      <x:c r="L225" s="22" t="n">
        <x:f>J225*K225</x:f>
        <x:v>0.01125</x:v>
      </x:c>
      <x:c r="M225" s="18" t="str">
        <x:f>IF(K225&gt;INDEX($I$6:$K$11,MATCH(A225,$H$6:$H$11,0),MATCH(B225&amp;"連線",$I$5:$K$5,0)),"取 Wild 連線較高賠率","取一般圖案連線賠率")</x:f>
        <x:v>取一般圖案連線賠率</x:v>
      </x:c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</x:row>
    <x:row r="226">
      <x:c r="A226" s="18" t="str">
        <x:v>10</x:v>
      </x:c>
      <x:c r="B226" s="18" t="n">
        <x:v>5</x:v>
      </x:c>
      <x:c r="C226" s="18" t="n">
        <x:f>IF(D226&lt;&gt;"W",0,IF(E226&lt;&gt;"W",1,IF(F226&lt;&gt;"W",2,IF(G226&lt;&gt;"W",3,IF(H226&lt;&gt;"W",4,5)))))</x:f>
        <x:v>2</x:v>
      </x:c>
      <x:c r="D226" s="18" t="str">
        <x:v>W</x:v>
      </x:c>
      <x:c r="E226" s="18" t="str">
        <x:v>W</x:v>
      </x:c>
      <x:c r="F226" s="18" t="str">
        <x:v>10</x:v>
      </x:c>
      <x:c r="G226" s="18" t="str">
        <x:v>10</x:v>
      </x:c>
      <x:c r="H226" s="18" t="str">
        <x:v>10</x:v>
      </x:c>
      <x:c r="I226" s="21" t="n">
        <x:f>PRODUCT(VLOOKUP(D226,$A$29:$F$42,2,FALSE),VLOOKUP(E226,$A$29:$F$42,3,FALSE),VLOOKUP(F226,$A$29:$F$42,4,FALSE),VLOOKUP(G226,$A$29:$F$42,5,FALSE),VLOOKUP(H226,$A$29:$F$42,6,FALSE))</x:f>
        <x:v>256</x:v>
      </x:c>
      <x:c r="J226" s="22" t="n">
        <x:f>I226/$N$5</x:f>
        <x:v>0.00008</x:v>
      </x:c>
      <x:c r="K226" s="18" t="n">
        <x:f>MAX(INDEX($I$6:$K$11,MATCH(A226,$H$6:$H$11,0),MATCH(B226&amp;"連線",$I$5:$K$5,0)),IF(C226&gt;=3,INDEX($I$6:$K$11,MATCH("W",$H$6:$H$11,0),MATCH(C226&amp;"連線",$I$5:$K$5,0)),0))</x:f>
        <x:v>75</x:v>
      </x:c>
      <x:c r="L226" s="22" t="n">
        <x:f>J226*K226</x:f>
        <x:v>0.006</x:v>
      </x:c>
      <x:c r="M226" s="18" t="str">
        <x:f>IF(K226&gt;INDEX($I$6:$K$11,MATCH(A226,$H$6:$H$11,0),MATCH(B226&amp;"連線",$I$5:$K$5,0)),"取 Wild 連線較高賠率","取一般圖案連線賠率")</x:f>
        <x:v>取一般圖案連線賠率</x:v>
      </x:c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</x:row>
    <x:row r="227">
      <x:c r="A227" s="18" t="str">
        <x:v>10</x:v>
      </x:c>
      <x:c r="B227" s="18" t="n">
        <x:v>5</x:v>
      </x:c>
      <x:c r="C227" s="18" t="n">
        <x:f>IF(D227&lt;&gt;"W",0,IF(E227&lt;&gt;"W",1,IF(F227&lt;&gt;"W",2,IF(G227&lt;&gt;"W",3,IF(H227&lt;&gt;"W",4,5)))))</x:f>
        <x:v>1</x:v>
      </x:c>
      <x:c r="D227" s="18" t="str">
        <x:v>W</x:v>
      </x:c>
      <x:c r="E227" s="18" t="str">
        <x:v>10</x:v>
      </x:c>
      <x:c r="F227" s="18" t="str">
        <x:v>W</x:v>
      </x:c>
      <x:c r="G227" s="18" t="str">
        <x:v>10</x:v>
      </x:c>
      <x:c r="H227" s="18" t="str">
        <x:v>10</x:v>
      </x:c>
      <x:c r="I227" s="21" t="n">
        <x:f>PRODUCT(VLOOKUP(D227,$A$29:$F$42,2,FALSE),VLOOKUP(E227,$A$29:$F$42,3,FALSE),VLOOKUP(F227,$A$29:$F$42,4,FALSE),VLOOKUP(G227,$A$29:$F$42,5,FALSE),VLOOKUP(H227,$A$29:$F$42,6,FALSE))</x:f>
        <x:v>192</x:v>
      </x:c>
      <x:c r="J227" s="22" t="n">
        <x:f>I227/$N$5</x:f>
        <x:v>0.00006</x:v>
      </x:c>
      <x:c r="K227" s="18" t="n">
        <x:f>MAX(INDEX($I$6:$K$11,MATCH(A227,$H$6:$H$11,0),MATCH(B227&amp;"連線",$I$5:$K$5,0)),IF(C227&gt;=3,INDEX($I$6:$K$11,MATCH("W",$H$6:$H$11,0),MATCH(C227&amp;"連線",$I$5:$K$5,0)),0))</x:f>
        <x:v>75</x:v>
      </x:c>
      <x:c r="L227" s="22" t="n">
        <x:f>J227*K227</x:f>
        <x:v>0.0045000000000000005</x:v>
      </x:c>
      <x:c r="M227" s="18" t="str">
        <x:f>IF(K227&gt;INDEX($I$6:$K$11,MATCH(A227,$H$6:$H$11,0),MATCH(B227&amp;"連線",$I$5:$K$5,0)),"取 Wild 連線較高賠率","取一般圖案連線賠率")</x:f>
        <x:v>取一般圖案連線賠率</x:v>
      </x:c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</x:row>
    <x:row r="228">
      <x:c r="A228" s="18" t="str">
        <x:v>10</x:v>
      </x:c>
      <x:c r="B228" s="18" t="n">
        <x:v>5</x:v>
      </x:c>
      <x:c r="C228" s="18" t="n">
        <x:f>IF(D228&lt;&gt;"W",0,IF(E228&lt;&gt;"W",1,IF(F228&lt;&gt;"W",2,IF(G228&lt;&gt;"W",3,IF(H228&lt;&gt;"W",4,5)))))</x:f>
        <x:v>1</x:v>
      </x:c>
      <x:c r="D228" s="18" t="str">
        <x:v>W</x:v>
      </x:c>
      <x:c r="E228" s="18" t="str">
        <x:v>10</x:v>
      </x:c>
      <x:c r="F228" s="18" t="str">
        <x:v>10</x:v>
      </x:c>
      <x:c r="G228" s="18" t="str">
        <x:v>W</x:v>
      </x:c>
      <x:c r="H228" s="18" t="str">
        <x:v>10</x:v>
      </x:c>
      <x:c r="I228" s="21" t="n">
        <x:f>PRODUCT(VLOOKUP(D228,$A$29:$F$42,2,FALSE),VLOOKUP(E228,$A$29:$F$42,3,FALSE),VLOOKUP(F228,$A$29:$F$42,4,FALSE),VLOOKUP(G228,$A$29:$F$42,5,FALSE),VLOOKUP(H228,$A$29:$F$42,6,FALSE))</x:f>
        <x:v>192</x:v>
      </x:c>
      <x:c r="J228" s="22" t="n">
        <x:f>I228/$N$5</x:f>
        <x:v>0.00006</x:v>
      </x:c>
      <x:c r="K228" s="18" t="n">
        <x:f>MAX(INDEX($I$6:$K$11,MATCH(A228,$H$6:$H$11,0),MATCH(B228&amp;"連線",$I$5:$K$5,0)),IF(C228&gt;=3,INDEX($I$6:$K$11,MATCH("W",$H$6:$H$11,0),MATCH(C228&amp;"連線",$I$5:$K$5,0)),0))</x:f>
        <x:v>75</x:v>
      </x:c>
      <x:c r="L228" s="22" t="n">
        <x:f>J228*K228</x:f>
        <x:v>0.0045000000000000005</x:v>
      </x:c>
      <x:c r="M228" s="18" t="str">
        <x:f>IF(K228&gt;INDEX($I$6:$K$11,MATCH(A228,$H$6:$H$11,0),MATCH(B228&amp;"連線",$I$5:$K$5,0)),"取 Wild 連線較高賠率","取一般圖案連線賠率")</x:f>
        <x:v>取一般圖案連線賠率</x:v>
      </x:c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</x:row>
    <x:row r="229">
      <x:c r="A229" s="18" t="str">
        <x:v>10</x:v>
      </x:c>
      <x:c r="B229" s="18" t="n">
        <x:v>5</x:v>
      </x:c>
      <x:c r="C229" s="18" t="n">
        <x:f>IF(D229&lt;&gt;"W",0,IF(E229&lt;&gt;"W",1,IF(F229&lt;&gt;"W",2,IF(G229&lt;&gt;"W",3,IF(H229&lt;&gt;"W",4,5)))))</x:f>
        <x:v>1</x:v>
      </x:c>
      <x:c r="D229" s="18" t="str">
        <x:v>W</x:v>
      </x:c>
      <x:c r="E229" s="18" t="str">
        <x:v>10</x:v>
      </x:c>
      <x:c r="F229" s="18" t="str">
        <x:v>10</x:v>
      </x:c>
      <x:c r="G229" s="18" t="str">
        <x:v>10</x:v>
      </x:c>
      <x:c r="H229" s="18" t="str">
        <x:v>W</x:v>
      </x:c>
      <x:c r="I229" s="21" t="n">
        <x:f>PRODUCT(VLOOKUP(D229,$A$29:$F$42,2,FALSE),VLOOKUP(E229,$A$29:$F$42,3,FALSE),VLOOKUP(F229,$A$29:$F$42,4,FALSE),VLOOKUP(G229,$A$29:$F$42,5,FALSE),VLOOKUP(H229,$A$29:$F$42,6,FALSE))</x:f>
        <x:v>192</x:v>
      </x:c>
      <x:c r="J229" s="22" t="n">
        <x:f>I229/$N$5</x:f>
        <x:v>0.00006</x:v>
      </x:c>
      <x:c r="K229" s="18" t="n">
        <x:f>MAX(INDEX($I$6:$K$11,MATCH(A229,$H$6:$H$11,0),MATCH(B229&amp;"連線",$I$5:$K$5,0)),IF(C229&gt;=3,INDEX($I$6:$K$11,MATCH("W",$H$6:$H$11,0),MATCH(C229&amp;"連線",$I$5:$K$5,0)),0))</x:f>
        <x:v>75</x:v>
      </x:c>
      <x:c r="L229" s="22" t="n">
        <x:f>J229*K229</x:f>
        <x:v>0.0045000000000000005</x:v>
      </x:c>
      <x:c r="M229" s="18" t="str">
        <x:f>IF(K229&gt;INDEX($I$6:$K$11,MATCH(A229,$H$6:$H$11,0),MATCH(B229&amp;"連線",$I$5:$K$5,0)),"取 Wild 連線較高賠率","取一般圖案連線賠率")</x:f>
        <x:v>取一般圖案連線賠率</x:v>
      </x:c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</x:row>
    <x:row r="230">
      <x:c r="A230" s="18" t="str">
        <x:v>10</x:v>
      </x:c>
      <x:c r="B230" s="18" t="n">
        <x:v>5</x:v>
      </x:c>
      <x:c r="C230" s="18" t="n">
        <x:f>IF(D230&lt;&gt;"W",0,IF(E230&lt;&gt;"W",1,IF(F230&lt;&gt;"W",2,IF(G230&lt;&gt;"W",3,IF(H230&lt;&gt;"W",4,5)))))</x:f>
        <x:v>0</x:v>
      </x:c>
      <x:c r="D230" s="18" t="str">
        <x:v>10</x:v>
      </x:c>
      <x:c r="E230" s="18" t="str">
        <x:v>W</x:v>
      </x:c>
      <x:c r="F230" s="18" t="str">
        <x:v>W</x:v>
      </x:c>
      <x:c r="G230" s="18" t="str">
        <x:v>10</x:v>
      </x:c>
      <x:c r="H230" s="18" t="str">
        <x:v>10</x:v>
      </x:c>
      <x:c r="I230" s="21" t="n">
        <x:f>PRODUCT(VLOOKUP(D230,$A$29:$F$42,2,FALSE),VLOOKUP(E230,$A$29:$F$42,3,FALSE),VLOOKUP(F230,$A$29:$F$42,4,FALSE),VLOOKUP(G230,$A$29:$F$42,5,FALSE),VLOOKUP(H230,$A$29:$F$42,6,FALSE))</x:f>
        <x:v>320</x:v>
      </x:c>
      <x:c r="J230" s="22" t="n">
        <x:f>I230/$N$5</x:f>
        <x:v>0.0001</x:v>
      </x:c>
      <x:c r="K230" s="18" t="n">
        <x:f>MAX(INDEX($I$6:$K$11,MATCH(A230,$H$6:$H$11,0),MATCH(B230&amp;"連線",$I$5:$K$5,0)),IF(C230&gt;=3,INDEX($I$6:$K$11,MATCH("W",$H$6:$H$11,0),MATCH(C230&amp;"連線",$I$5:$K$5,0)),0))</x:f>
        <x:v>75</x:v>
      </x:c>
      <x:c r="L230" s="22" t="n">
        <x:f>J230*K230</x:f>
        <x:v>0.007500000000000001</x:v>
      </x:c>
      <x:c r="M230" s="18" t="str">
        <x:f>IF(K230&gt;INDEX($I$6:$K$11,MATCH(A230,$H$6:$H$11,0),MATCH(B230&amp;"連線",$I$5:$K$5,0)),"取 Wild 連線較高賠率","取一般圖案連線賠率")</x:f>
        <x:v>取一般圖案連線賠率</x:v>
      </x:c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</x:row>
    <x:row r="231">
      <x:c r="A231" s="18" t="str">
        <x:v>10</x:v>
      </x:c>
      <x:c r="B231" s="18" t="n">
        <x:v>5</x:v>
      </x:c>
      <x:c r="C231" s="18" t="n">
        <x:f>IF(D231&lt;&gt;"W",0,IF(E231&lt;&gt;"W",1,IF(F231&lt;&gt;"W",2,IF(G231&lt;&gt;"W",3,IF(H231&lt;&gt;"W",4,5)))))</x:f>
        <x:v>0</x:v>
      </x:c>
      <x:c r="D231" s="18" t="str">
        <x:v>10</x:v>
      </x:c>
      <x:c r="E231" s="18" t="str">
        <x:v>W</x:v>
      </x:c>
      <x:c r="F231" s="18" t="str">
        <x:v>10</x:v>
      </x:c>
      <x:c r="G231" s="18" t="str">
        <x:v>W</x:v>
      </x:c>
      <x:c r="H231" s="18" t="str">
        <x:v>10</x:v>
      </x:c>
      <x:c r="I231" s="21" t="n">
        <x:f>PRODUCT(VLOOKUP(D231,$A$29:$F$42,2,FALSE),VLOOKUP(E231,$A$29:$F$42,3,FALSE),VLOOKUP(F231,$A$29:$F$42,4,FALSE),VLOOKUP(G231,$A$29:$F$42,5,FALSE),VLOOKUP(H231,$A$29:$F$42,6,FALSE))</x:f>
        <x:v>320</x:v>
      </x:c>
      <x:c r="J231" s="22" t="n">
        <x:f>I231/$N$5</x:f>
        <x:v>0.0001</x:v>
      </x:c>
      <x:c r="K231" s="18" t="n">
        <x:f>MAX(INDEX($I$6:$K$11,MATCH(A231,$H$6:$H$11,0),MATCH(B231&amp;"連線",$I$5:$K$5,0)),IF(C231&gt;=3,INDEX($I$6:$K$11,MATCH("W",$H$6:$H$11,0),MATCH(C231&amp;"連線",$I$5:$K$5,0)),0))</x:f>
        <x:v>75</x:v>
      </x:c>
      <x:c r="L231" s="22" t="n">
        <x:f>J231*K231</x:f>
        <x:v>0.007500000000000001</x:v>
      </x:c>
      <x:c r="M231" s="18" t="str">
        <x:f>IF(K231&gt;INDEX($I$6:$K$11,MATCH(A231,$H$6:$H$11,0),MATCH(B231&amp;"連線",$I$5:$K$5,0)),"取 Wild 連線較高賠率","取一般圖案連線賠率")</x:f>
        <x:v>取一般圖案連線賠率</x:v>
      </x:c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</x:row>
    <x:row r="232">
      <x:c r="A232" s="18" t="str">
        <x:v>10</x:v>
      </x:c>
      <x:c r="B232" s="18" t="n">
        <x:v>5</x:v>
      </x:c>
      <x:c r="C232" s="18" t="n">
        <x:f>IF(D232&lt;&gt;"W",0,IF(E232&lt;&gt;"W",1,IF(F232&lt;&gt;"W",2,IF(G232&lt;&gt;"W",3,IF(H232&lt;&gt;"W",4,5)))))</x:f>
        <x:v>0</x:v>
      </x:c>
      <x:c r="D232" s="18" t="str">
        <x:v>10</x:v>
      </x:c>
      <x:c r="E232" s="18" t="str">
        <x:v>W</x:v>
      </x:c>
      <x:c r="F232" s="18" t="str">
        <x:v>10</x:v>
      </x:c>
      <x:c r="G232" s="18" t="str">
        <x:v>10</x:v>
      </x:c>
      <x:c r="H232" s="18" t="str">
        <x:v>W</x:v>
      </x:c>
      <x:c r="I232" s="21" t="n">
        <x:f>PRODUCT(VLOOKUP(D232,$A$29:$F$42,2,FALSE),VLOOKUP(E232,$A$29:$F$42,3,FALSE),VLOOKUP(F232,$A$29:$F$42,4,FALSE),VLOOKUP(G232,$A$29:$F$42,5,FALSE),VLOOKUP(H232,$A$29:$F$42,6,FALSE))</x:f>
        <x:v>320</x:v>
      </x:c>
      <x:c r="J232" s="22" t="n">
        <x:f>I232/$N$5</x:f>
        <x:v>0.0001</x:v>
      </x:c>
      <x:c r="K232" s="18" t="n">
        <x:f>MAX(INDEX($I$6:$K$11,MATCH(A232,$H$6:$H$11,0),MATCH(B232&amp;"連線",$I$5:$K$5,0)),IF(C232&gt;=3,INDEX($I$6:$K$11,MATCH("W",$H$6:$H$11,0),MATCH(C232&amp;"連線",$I$5:$K$5,0)),0))</x:f>
        <x:v>75</x:v>
      </x:c>
      <x:c r="L232" s="22" t="n">
        <x:f>J232*K232</x:f>
        <x:v>0.007500000000000001</x:v>
      </x:c>
      <x:c r="M232" s="18" t="str">
        <x:f>IF(K232&gt;INDEX($I$6:$K$11,MATCH(A232,$H$6:$H$11,0),MATCH(B232&amp;"連線",$I$5:$K$5,0)),"取 Wild 連線較高賠率","取一般圖案連線賠率")</x:f>
        <x:v>取一般圖案連線賠率</x:v>
      </x:c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</x:row>
    <x:row r="233">
      <x:c r="A233" s="18" t="str">
        <x:v>10</x:v>
      </x:c>
      <x:c r="B233" s="18" t="n">
        <x:v>5</x:v>
      </x:c>
      <x:c r="C233" s="18" t="n">
        <x:f>IF(D233&lt;&gt;"W",0,IF(E233&lt;&gt;"W",1,IF(F233&lt;&gt;"W",2,IF(G233&lt;&gt;"W",3,IF(H233&lt;&gt;"W",4,5)))))</x:f>
        <x:v>0</x:v>
      </x:c>
      <x:c r="D233" s="18" t="str">
        <x:v>10</x:v>
      </x:c>
      <x:c r="E233" s="18" t="str">
        <x:v>10</x:v>
      </x:c>
      <x:c r="F233" s="18" t="str">
        <x:v>W</x:v>
      </x:c>
      <x:c r="G233" s="18" t="str">
        <x:v>W</x:v>
      </x:c>
      <x:c r="H233" s="18" t="str">
        <x:v>10</x:v>
      </x:c>
      <x:c r="I233" s="21" t="n">
        <x:f>PRODUCT(VLOOKUP(D233,$A$29:$F$42,2,FALSE),VLOOKUP(E233,$A$29:$F$42,3,FALSE),VLOOKUP(F233,$A$29:$F$42,4,FALSE),VLOOKUP(G233,$A$29:$F$42,5,FALSE),VLOOKUP(H233,$A$29:$F$42,6,FALSE))</x:f>
        <x:v>240</x:v>
      </x:c>
      <x:c r="J233" s="22" t="n">
        <x:f>I233/$N$5</x:f>
        <x:v>0.000075</x:v>
      </x:c>
      <x:c r="K233" s="18" t="n">
        <x:f>MAX(INDEX($I$6:$K$11,MATCH(A233,$H$6:$H$11,0),MATCH(B233&amp;"連線",$I$5:$K$5,0)),IF(C233&gt;=3,INDEX($I$6:$K$11,MATCH("W",$H$6:$H$11,0),MATCH(C233&amp;"連線",$I$5:$K$5,0)),0))</x:f>
        <x:v>75</x:v>
      </x:c>
      <x:c r="L233" s="22" t="n">
        <x:f>J233*K233</x:f>
        <x:v>0.005625</x:v>
      </x:c>
      <x:c r="M233" s="18" t="str">
        <x:f>IF(K233&gt;INDEX($I$6:$K$11,MATCH(A233,$H$6:$H$11,0),MATCH(B233&amp;"連線",$I$5:$K$5,0)),"取 Wild 連線較高賠率","取一般圖案連線賠率")</x:f>
        <x:v>取一般圖案連線賠率</x:v>
      </x:c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</x:row>
    <x:row r="234">
      <x:c r="A234" s="18" t="str">
        <x:v>10</x:v>
      </x:c>
      <x:c r="B234" s="18" t="n">
        <x:v>5</x:v>
      </x:c>
      <x:c r="C234" s="18" t="n">
        <x:f>IF(D234&lt;&gt;"W",0,IF(E234&lt;&gt;"W",1,IF(F234&lt;&gt;"W",2,IF(G234&lt;&gt;"W",3,IF(H234&lt;&gt;"W",4,5)))))</x:f>
        <x:v>0</x:v>
      </x:c>
      <x:c r="D234" s="18" t="str">
        <x:v>10</x:v>
      </x:c>
      <x:c r="E234" s="18" t="str">
        <x:v>10</x:v>
      </x:c>
      <x:c r="F234" s="18" t="str">
        <x:v>W</x:v>
      </x:c>
      <x:c r="G234" s="18" t="str">
        <x:v>10</x:v>
      </x:c>
      <x:c r="H234" s="18" t="str">
        <x:v>W</x:v>
      </x:c>
      <x:c r="I234" s="21" t="n">
        <x:f>PRODUCT(VLOOKUP(D234,$A$29:$F$42,2,FALSE),VLOOKUP(E234,$A$29:$F$42,3,FALSE),VLOOKUP(F234,$A$29:$F$42,4,FALSE),VLOOKUP(G234,$A$29:$F$42,5,FALSE),VLOOKUP(H234,$A$29:$F$42,6,FALSE))</x:f>
        <x:v>240</x:v>
      </x:c>
      <x:c r="J234" s="22" t="n">
        <x:f>I234/$N$5</x:f>
        <x:v>0.000075</x:v>
      </x:c>
      <x:c r="K234" s="18" t="n">
        <x:f>MAX(INDEX($I$6:$K$11,MATCH(A234,$H$6:$H$11,0),MATCH(B234&amp;"連線",$I$5:$K$5,0)),IF(C234&gt;=3,INDEX($I$6:$K$11,MATCH("W",$H$6:$H$11,0),MATCH(C234&amp;"連線",$I$5:$K$5,0)),0))</x:f>
        <x:v>75</x:v>
      </x:c>
      <x:c r="L234" s="22" t="n">
        <x:f>J234*K234</x:f>
        <x:v>0.005625</x:v>
      </x:c>
      <x:c r="M234" s="18" t="str">
        <x:f>IF(K234&gt;INDEX($I$6:$K$11,MATCH(A234,$H$6:$H$11,0),MATCH(B234&amp;"連線",$I$5:$K$5,0)),"取 Wild 連線較高賠率","取一般圖案連線賠率")</x:f>
        <x:v>取一般圖案連線賠率</x:v>
      </x:c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</x:row>
    <x:row r="235">
      <x:c r="A235" s="18" t="str">
        <x:v>10</x:v>
      </x:c>
      <x:c r="B235" s="18" t="n">
        <x:v>5</x:v>
      </x:c>
      <x:c r="C235" s="18" t="n">
        <x:f>IF(D235&lt;&gt;"W",0,IF(E235&lt;&gt;"W",1,IF(F235&lt;&gt;"W",2,IF(G235&lt;&gt;"W",3,IF(H235&lt;&gt;"W",4,5)))))</x:f>
        <x:v>0</x:v>
      </x:c>
      <x:c r="D235" s="18" t="str">
        <x:v>10</x:v>
      </x:c>
      <x:c r="E235" s="18" t="str">
        <x:v>10</x:v>
      </x:c>
      <x:c r="F235" s="18" t="str">
        <x:v>10</x:v>
      </x:c>
      <x:c r="G235" s="18" t="str">
        <x:v>W</x:v>
      </x:c>
      <x:c r="H235" s="18" t="str">
        <x:v>W</x:v>
      </x:c>
      <x:c r="I235" s="21" t="n">
        <x:f>PRODUCT(VLOOKUP(D235,$A$29:$F$42,2,FALSE),VLOOKUP(E235,$A$29:$F$42,3,FALSE),VLOOKUP(F235,$A$29:$F$42,4,FALSE),VLOOKUP(G235,$A$29:$F$42,5,FALSE),VLOOKUP(H235,$A$29:$F$42,6,FALSE))</x:f>
        <x:v>240</x:v>
      </x:c>
      <x:c r="J235" s="22" t="n">
        <x:f>I235/$N$5</x:f>
        <x:v>0.000075</x:v>
      </x:c>
      <x:c r="K235" s="18" t="n">
        <x:f>MAX(INDEX($I$6:$K$11,MATCH(A235,$H$6:$H$11,0),MATCH(B235&amp;"連線",$I$5:$K$5,0)),IF(C235&gt;=3,INDEX($I$6:$K$11,MATCH("W",$H$6:$H$11,0),MATCH(C235&amp;"連線",$I$5:$K$5,0)),0))</x:f>
        <x:v>75</x:v>
      </x:c>
      <x:c r="L235" s="22" t="n">
        <x:f>J235*K235</x:f>
        <x:v>0.005625</x:v>
      </x:c>
      <x:c r="M235" s="18" t="str">
        <x:f>IF(K235&gt;INDEX($I$6:$K$11,MATCH(A235,$H$6:$H$11,0),MATCH(B235&amp;"連線",$I$5:$K$5,0)),"取 Wild 連線較高賠率","取一般圖案連線賠率")</x:f>
        <x:v>取一般圖案連線賠率</x:v>
      </x:c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</x:row>
    <x:row r="236">
      <x:c r="A236" s="18" t="str">
        <x:v>10</x:v>
      </x:c>
      <x:c r="B236" s="18" t="n">
        <x:v>5</x:v>
      </x:c>
      <x:c r="C236" s="18" t="n">
        <x:f>IF(D236&lt;&gt;"W",0,IF(E236&lt;&gt;"W",1,IF(F236&lt;&gt;"W",2,IF(G236&lt;&gt;"W",3,IF(H236&lt;&gt;"W",4,5)))))</x:f>
        <x:v>3</x:v>
      </x:c>
      <x:c r="D236" s="18" t="str">
        <x:v>W</x:v>
      </x:c>
      <x:c r="E236" s="18" t="str">
        <x:v>W</x:v>
      </x:c>
      <x:c r="F236" s="18" t="str">
        <x:v>W</x:v>
      </x:c>
      <x:c r="G236" s="18" t="str">
        <x:v>10</x:v>
      </x:c>
      <x:c r="H236" s="18" t="str">
        <x:v>10</x:v>
      </x:c>
      <x:c r="I236" s="21" t="n">
        <x:f>PRODUCT(VLOOKUP(D236,$A$29:$F$42,2,FALSE),VLOOKUP(E236,$A$29:$F$42,3,FALSE),VLOOKUP(F236,$A$29:$F$42,4,FALSE),VLOOKUP(G236,$A$29:$F$42,5,FALSE),VLOOKUP(H236,$A$29:$F$42,6,FALSE))</x:f>
        <x:v>128</x:v>
      </x:c>
      <x:c r="J236" s="22" t="n">
        <x:f>I236/$N$5</x:f>
        <x:v>0.00004</x:v>
      </x:c>
      <x:c r="K236" s="18" t="n">
        <x:f>MAX(INDEX($I$6:$K$11,MATCH(A236,$H$6:$H$11,0),MATCH(B236&amp;"連線",$I$5:$K$5,0)),IF(C236&gt;=3,INDEX($I$6:$K$11,MATCH("W",$H$6:$H$11,0),MATCH(C236&amp;"連線",$I$5:$K$5,0)),0))</x:f>
        <x:v>150</x:v>
      </x:c>
      <x:c r="L236" s="22" t="n">
        <x:f>J236*K236</x:f>
        <x:v>0.006</x:v>
      </x:c>
      <x:c r="M236" s="18" t="str">
        <x:f>IF(K236&gt;INDEX($I$6:$K$11,MATCH(A236,$H$6:$H$11,0),MATCH(B236&amp;"連線",$I$5:$K$5,0)),"取 Wild 連線較高賠率","取一般圖案連線賠率")</x:f>
        <x:v>取 Wild 連線較高賠率</x:v>
      </x:c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</x:row>
    <x:row r="237">
      <x:c r="A237" s="18" t="str">
        <x:v>10</x:v>
      </x:c>
      <x:c r="B237" s="18" t="n">
        <x:v>5</x:v>
      </x:c>
      <x:c r="C237" s="18" t="n">
        <x:f>IF(D237&lt;&gt;"W",0,IF(E237&lt;&gt;"W",1,IF(F237&lt;&gt;"W",2,IF(G237&lt;&gt;"W",3,IF(H237&lt;&gt;"W",4,5)))))</x:f>
        <x:v>2</x:v>
      </x:c>
      <x:c r="D237" s="18" t="str">
        <x:v>W</x:v>
      </x:c>
      <x:c r="E237" s="18" t="str">
        <x:v>W</x:v>
      </x:c>
      <x:c r="F237" s="18" t="str">
        <x:v>10</x:v>
      </x:c>
      <x:c r="G237" s="18" t="str">
        <x:v>W</x:v>
      </x:c>
      <x:c r="H237" s="18" t="str">
        <x:v>10</x:v>
      </x:c>
      <x:c r="I237" s="21" t="n">
        <x:f>PRODUCT(VLOOKUP(D237,$A$29:$F$42,2,FALSE),VLOOKUP(E237,$A$29:$F$42,3,FALSE),VLOOKUP(F237,$A$29:$F$42,4,FALSE),VLOOKUP(G237,$A$29:$F$42,5,FALSE),VLOOKUP(H237,$A$29:$F$42,6,FALSE))</x:f>
        <x:v>128</x:v>
      </x:c>
      <x:c r="J237" s="22" t="n">
        <x:f>I237/$N$5</x:f>
        <x:v>0.00004</x:v>
      </x:c>
      <x:c r="K237" s="18" t="n">
        <x:f>MAX(INDEX($I$6:$K$11,MATCH(A237,$H$6:$H$11,0),MATCH(B237&amp;"連線",$I$5:$K$5,0)),IF(C237&gt;=3,INDEX($I$6:$K$11,MATCH("W",$H$6:$H$11,0),MATCH(C237&amp;"連線",$I$5:$K$5,0)),0))</x:f>
        <x:v>75</x:v>
      </x:c>
      <x:c r="L237" s="22" t="n">
        <x:f>J237*K237</x:f>
        <x:v>0.003</x:v>
      </x:c>
      <x:c r="M237" s="18" t="str">
        <x:f>IF(K237&gt;INDEX($I$6:$K$11,MATCH(A237,$H$6:$H$11,0),MATCH(B237&amp;"連線",$I$5:$K$5,0)),"取 Wild 連線較高賠率","取一般圖案連線賠率")</x:f>
        <x:v>取一般圖案連線賠率</x:v>
      </x:c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</x:row>
    <x:row r="238">
      <x:c r="A238" s="18" t="str">
        <x:v>10</x:v>
      </x:c>
      <x:c r="B238" s="18" t="n">
        <x:v>5</x:v>
      </x:c>
      <x:c r="C238" s="18" t="n">
        <x:f>IF(D238&lt;&gt;"W",0,IF(E238&lt;&gt;"W",1,IF(F238&lt;&gt;"W",2,IF(G238&lt;&gt;"W",3,IF(H238&lt;&gt;"W",4,5)))))</x:f>
        <x:v>2</x:v>
      </x:c>
      <x:c r="D238" s="18" t="str">
        <x:v>W</x:v>
      </x:c>
      <x:c r="E238" s="18" t="str">
        <x:v>W</x:v>
      </x:c>
      <x:c r="F238" s="18" t="str">
        <x:v>10</x:v>
      </x:c>
      <x:c r="G238" s="18" t="str">
        <x:v>10</x:v>
      </x:c>
      <x:c r="H238" s="18" t="str">
        <x:v>W</x:v>
      </x:c>
      <x:c r="I238" s="21" t="n">
        <x:f>PRODUCT(VLOOKUP(D238,$A$29:$F$42,2,FALSE),VLOOKUP(E238,$A$29:$F$42,3,FALSE),VLOOKUP(F238,$A$29:$F$42,4,FALSE),VLOOKUP(G238,$A$29:$F$42,5,FALSE),VLOOKUP(H238,$A$29:$F$42,6,FALSE))</x:f>
        <x:v>128</x:v>
      </x:c>
      <x:c r="J238" s="22" t="n">
        <x:f>I238/$N$5</x:f>
        <x:v>0.00004</x:v>
      </x:c>
      <x:c r="K238" s="18" t="n">
        <x:f>MAX(INDEX($I$6:$K$11,MATCH(A238,$H$6:$H$11,0),MATCH(B238&amp;"連線",$I$5:$K$5,0)),IF(C238&gt;=3,INDEX($I$6:$K$11,MATCH("W",$H$6:$H$11,0),MATCH(C238&amp;"連線",$I$5:$K$5,0)),0))</x:f>
        <x:v>75</x:v>
      </x:c>
      <x:c r="L238" s="22" t="n">
        <x:f>J238*K238</x:f>
        <x:v>0.003</x:v>
      </x:c>
      <x:c r="M238" s="18" t="str">
        <x:f>IF(K238&gt;INDEX($I$6:$K$11,MATCH(A238,$H$6:$H$11,0),MATCH(B238&amp;"連線",$I$5:$K$5,0)),"取 Wild 連線較高賠率","取一般圖案連線賠率")</x:f>
        <x:v>取一般圖案連線賠率</x:v>
      </x:c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</x:row>
    <x:row r="239">
      <x:c r="A239" s="18" t="str">
        <x:v>10</x:v>
      </x:c>
      <x:c r="B239" s="18" t="n">
        <x:v>5</x:v>
      </x:c>
      <x:c r="C239" s="18" t="n">
        <x:f>IF(D239&lt;&gt;"W",0,IF(E239&lt;&gt;"W",1,IF(F239&lt;&gt;"W",2,IF(G239&lt;&gt;"W",3,IF(H239&lt;&gt;"W",4,5)))))</x:f>
        <x:v>1</x:v>
      </x:c>
      <x:c r="D239" s="18" t="str">
        <x:v>W</x:v>
      </x:c>
      <x:c r="E239" s="18" t="str">
        <x:v>10</x:v>
      </x:c>
      <x:c r="F239" s="18" t="str">
        <x:v>W</x:v>
      </x:c>
      <x:c r="G239" s="18" t="str">
        <x:v>W</x:v>
      </x:c>
      <x:c r="H239" s="18" t="str">
        <x:v>10</x:v>
      </x:c>
      <x:c r="I239" s="21" t="n">
        <x:f>PRODUCT(VLOOKUP(D239,$A$29:$F$42,2,FALSE),VLOOKUP(E239,$A$29:$F$42,3,FALSE),VLOOKUP(F239,$A$29:$F$42,4,FALSE),VLOOKUP(G239,$A$29:$F$42,5,FALSE),VLOOKUP(H239,$A$29:$F$42,6,FALSE))</x:f>
        <x:v>96</x:v>
      </x:c>
      <x:c r="J239" s="22" t="n">
        <x:f>I239/$N$5</x:f>
        <x:v>0.00003</x:v>
      </x:c>
      <x:c r="K239" s="18" t="n">
        <x:f>MAX(INDEX($I$6:$K$11,MATCH(A239,$H$6:$H$11,0),MATCH(B239&amp;"連線",$I$5:$K$5,0)),IF(C239&gt;=3,INDEX($I$6:$K$11,MATCH("W",$H$6:$H$11,0),MATCH(C239&amp;"連線",$I$5:$K$5,0)),0))</x:f>
        <x:v>75</x:v>
      </x:c>
      <x:c r="L239" s="22" t="n">
        <x:f>J239*K239</x:f>
        <x:v>0.0022500000000000003</x:v>
      </x:c>
      <x:c r="M239" s="18" t="str">
        <x:f>IF(K239&gt;INDEX($I$6:$K$11,MATCH(A239,$H$6:$H$11,0),MATCH(B239&amp;"連線",$I$5:$K$5,0)),"取 Wild 連線較高賠率","取一般圖案連線賠率")</x:f>
        <x:v>取一般圖案連線賠率</x:v>
      </x:c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</x:row>
    <x:row r="240">
      <x:c r="A240" s="18" t="str">
        <x:v>10</x:v>
      </x:c>
      <x:c r="B240" s="18" t="n">
        <x:v>5</x:v>
      </x:c>
      <x:c r="C240" s="18" t="n">
        <x:f>IF(D240&lt;&gt;"W",0,IF(E240&lt;&gt;"W",1,IF(F240&lt;&gt;"W",2,IF(G240&lt;&gt;"W",3,IF(H240&lt;&gt;"W",4,5)))))</x:f>
        <x:v>1</x:v>
      </x:c>
      <x:c r="D240" s="18" t="str">
        <x:v>W</x:v>
      </x:c>
      <x:c r="E240" s="18" t="str">
        <x:v>10</x:v>
      </x:c>
      <x:c r="F240" s="18" t="str">
        <x:v>W</x:v>
      </x:c>
      <x:c r="G240" s="18" t="str">
        <x:v>10</x:v>
      </x:c>
      <x:c r="H240" s="18" t="str">
        <x:v>W</x:v>
      </x:c>
      <x:c r="I240" s="21" t="n">
        <x:f>PRODUCT(VLOOKUP(D240,$A$29:$F$42,2,FALSE),VLOOKUP(E240,$A$29:$F$42,3,FALSE),VLOOKUP(F240,$A$29:$F$42,4,FALSE),VLOOKUP(G240,$A$29:$F$42,5,FALSE),VLOOKUP(H240,$A$29:$F$42,6,FALSE))</x:f>
        <x:v>96</x:v>
      </x:c>
      <x:c r="J240" s="22" t="n">
        <x:f>I240/$N$5</x:f>
        <x:v>0.00003</x:v>
      </x:c>
      <x:c r="K240" s="18" t="n">
        <x:f>MAX(INDEX($I$6:$K$11,MATCH(A240,$H$6:$H$11,0),MATCH(B240&amp;"連線",$I$5:$K$5,0)),IF(C240&gt;=3,INDEX($I$6:$K$11,MATCH("W",$H$6:$H$11,0),MATCH(C240&amp;"連線",$I$5:$K$5,0)),0))</x:f>
        <x:v>75</x:v>
      </x:c>
      <x:c r="L240" s="22" t="n">
        <x:f>J240*K240</x:f>
        <x:v>0.0022500000000000003</x:v>
      </x:c>
      <x:c r="M240" s="18" t="str">
        <x:f>IF(K240&gt;INDEX($I$6:$K$11,MATCH(A240,$H$6:$H$11,0),MATCH(B240&amp;"連線",$I$5:$K$5,0)),"取 Wild 連線較高賠率","取一般圖案連線賠率")</x:f>
        <x:v>取一般圖案連線賠率</x:v>
      </x:c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</x:row>
    <x:row r="241">
      <x:c r="A241" s="18" t="str">
        <x:v>10</x:v>
      </x:c>
      <x:c r="B241" s="18" t="n">
        <x:v>5</x:v>
      </x:c>
      <x:c r="C241" s="18" t="n">
        <x:f>IF(D241&lt;&gt;"W",0,IF(E241&lt;&gt;"W",1,IF(F241&lt;&gt;"W",2,IF(G241&lt;&gt;"W",3,IF(H241&lt;&gt;"W",4,5)))))</x:f>
        <x:v>1</x:v>
      </x:c>
      <x:c r="D241" s="18" t="str">
        <x:v>W</x:v>
      </x:c>
      <x:c r="E241" s="18" t="str">
        <x:v>10</x:v>
      </x:c>
      <x:c r="F241" s="18" t="str">
        <x:v>10</x:v>
      </x:c>
      <x:c r="G241" s="18" t="str">
        <x:v>W</x:v>
      </x:c>
      <x:c r="H241" s="18" t="str">
        <x:v>W</x:v>
      </x:c>
      <x:c r="I241" s="21" t="n">
        <x:f>PRODUCT(VLOOKUP(D241,$A$29:$F$42,2,FALSE),VLOOKUP(E241,$A$29:$F$42,3,FALSE),VLOOKUP(F241,$A$29:$F$42,4,FALSE),VLOOKUP(G241,$A$29:$F$42,5,FALSE),VLOOKUP(H241,$A$29:$F$42,6,FALSE))</x:f>
        <x:v>96</x:v>
      </x:c>
      <x:c r="J241" s="22" t="n">
        <x:f>I241/$N$5</x:f>
        <x:v>0.00003</x:v>
      </x:c>
      <x:c r="K241" s="18" t="n">
        <x:f>MAX(INDEX($I$6:$K$11,MATCH(A241,$H$6:$H$11,0),MATCH(B241&amp;"連線",$I$5:$K$5,0)),IF(C241&gt;=3,INDEX($I$6:$K$11,MATCH("W",$H$6:$H$11,0),MATCH(C241&amp;"連線",$I$5:$K$5,0)),0))</x:f>
        <x:v>75</x:v>
      </x:c>
      <x:c r="L241" s="22" t="n">
        <x:f>J241*K241</x:f>
        <x:v>0.0022500000000000003</x:v>
      </x:c>
      <x:c r="M241" s="18" t="str">
        <x:f>IF(K241&gt;INDEX($I$6:$K$11,MATCH(A241,$H$6:$H$11,0),MATCH(B241&amp;"連線",$I$5:$K$5,0)),"取 Wild 連線較高賠率","取一般圖案連線賠率")</x:f>
        <x:v>取一般圖案連線賠率</x:v>
      </x:c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</x:row>
    <x:row r="242">
      <x:c r="A242" s="18" t="str">
        <x:v>10</x:v>
      </x:c>
      <x:c r="B242" s="18" t="n">
        <x:v>5</x:v>
      </x:c>
      <x:c r="C242" s="18" t="n">
        <x:f>IF(D242&lt;&gt;"W",0,IF(E242&lt;&gt;"W",1,IF(F242&lt;&gt;"W",2,IF(G242&lt;&gt;"W",3,IF(H242&lt;&gt;"W",4,5)))))</x:f>
        <x:v>0</x:v>
      </x:c>
      <x:c r="D242" s="18" t="str">
        <x:v>10</x:v>
      </x:c>
      <x:c r="E242" s="18" t="str">
        <x:v>W</x:v>
      </x:c>
      <x:c r="F242" s="18" t="str">
        <x:v>W</x:v>
      </x:c>
      <x:c r="G242" s="18" t="str">
        <x:v>W</x:v>
      </x:c>
      <x:c r="H242" s="18" t="str">
        <x:v>10</x:v>
      </x:c>
      <x:c r="I242" s="21" t="n">
        <x:f>PRODUCT(VLOOKUP(D242,$A$29:$F$42,2,FALSE),VLOOKUP(E242,$A$29:$F$42,3,FALSE),VLOOKUP(F242,$A$29:$F$42,4,FALSE),VLOOKUP(G242,$A$29:$F$42,5,FALSE),VLOOKUP(H242,$A$29:$F$42,6,FALSE))</x:f>
        <x:v>160</x:v>
      </x:c>
      <x:c r="J242" s="22" t="n">
        <x:f>I242/$N$5</x:f>
        <x:v>0.00005</x:v>
      </x:c>
      <x:c r="K242" s="18" t="n">
        <x:f>MAX(INDEX($I$6:$K$11,MATCH(A242,$H$6:$H$11,0),MATCH(B242&amp;"連線",$I$5:$K$5,0)),IF(C242&gt;=3,INDEX($I$6:$K$11,MATCH("W",$H$6:$H$11,0),MATCH(C242&amp;"連線",$I$5:$K$5,0)),0))</x:f>
        <x:v>75</x:v>
      </x:c>
      <x:c r="L242" s="22" t="n">
        <x:f>J242*K242</x:f>
        <x:v>0.0037500000000000003</x:v>
      </x:c>
      <x:c r="M242" s="18" t="str">
        <x:f>IF(K242&gt;INDEX($I$6:$K$11,MATCH(A242,$H$6:$H$11,0),MATCH(B242&amp;"連線",$I$5:$K$5,0)),"取 Wild 連線較高賠率","取一般圖案連線賠率")</x:f>
        <x:v>取一般圖案連線賠率</x:v>
      </x:c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</x:row>
    <x:row r="243">
      <x:c r="A243" s="18" t="str">
        <x:v>10</x:v>
      </x:c>
      <x:c r="B243" s="18" t="n">
        <x:v>5</x:v>
      </x:c>
      <x:c r="C243" s="18" t="n">
        <x:f>IF(D243&lt;&gt;"W",0,IF(E243&lt;&gt;"W",1,IF(F243&lt;&gt;"W",2,IF(G243&lt;&gt;"W",3,IF(H243&lt;&gt;"W",4,5)))))</x:f>
        <x:v>0</x:v>
      </x:c>
      <x:c r="D243" s="18" t="str">
        <x:v>10</x:v>
      </x:c>
      <x:c r="E243" s="18" t="str">
        <x:v>W</x:v>
      </x:c>
      <x:c r="F243" s="18" t="str">
        <x:v>W</x:v>
      </x:c>
      <x:c r="G243" s="18" t="str">
        <x:v>10</x:v>
      </x:c>
      <x:c r="H243" s="18" t="str">
        <x:v>W</x:v>
      </x:c>
      <x:c r="I243" s="21" t="n">
        <x:f>PRODUCT(VLOOKUP(D243,$A$29:$F$42,2,FALSE),VLOOKUP(E243,$A$29:$F$42,3,FALSE),VLOOKUP(F243,$A$29:$F$42,4,FALSE),VLOOKUP(G243,$A$29:$F$42,5,FALSE),VLOOKUP(H243,$A$29:$F$42,6,FALSE))</x:f>
        <x:v>160</x:v>
      </x:c>
      <x:c r="J243" s="22" t="n">
        <x:f>I243/$N$5</x:f>
        <x:v>0.00005</x:v>
      </x:c>
      <x:c r="K243" s="18" t="n">
        <x:f>MAX(INDEX($I$6:$K$11,MATCH(A243,$H$6:$H$11,0),MATCH(B243&amp;"連線",$I$5:$K$5,0)),IF(C243&gt;=3,INDEX($I$6:$K$11,MATCH("W",$H$6:$H$11,0),MATCH(C243&amp;"連線",$I$5:$K$5,0)),0))</x:f>
        <x:v>75</x:v>
      </x:c>
      <x:c r="L243" s="22" t="n">
        <x:f>J243*K243</x:f>
        <x:v>0.0037500000000000003</x:v>
      </x:c>
      <x:c r="M243" s="18" t="str">
        <x:f>IF(K243&gt;INDEX($I$6:$K$11,MATCH(A243,$H$6:$H$11,0),MATCH(B243&amp;"連線",$I$5:$K$5,0)),"取 Wild 連線較高賠率","取一般圖案連線賠率")</x:f>
        <x:v>取一般圖案連線賠率</x:v>
      </x:c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</x:row>
    <x:row r="244">
      <x:c r="A244" s="18" t="str">
        <x:v>10</x:v>
      </x:c>
      <x:c r="B244" s="18" t="n">
        <x:v>5</x:v>
      </x:c>
      <x:c r="C244" s="18" t="n">
        <x:f>IF(D244&lt;&gt;"W",0,IF(E244&lt;&gt;"W",1,IF(F244&lt;&gt;"W",2,IF(G244&lt;&gt;"W",3,IF(H244&lt;&gt;"W",4,5)))))</x:f>
        <x:v>0</x:v>
      </x:c>
      <x:c r="D244" s="18" t="str">
        <x:v>10</x:v>
      </x:c>
      <x:c r="E244" s="18" t="str">
        <x:v>W</x:v>
      </x:c>
      <x:c r="F244" s="18" t="str">
        <x:v>10</x:v>
      </x:c>
      <x:c r="G244" s="18" t="str">
        <x:v>W</x:v>
      </x:c>
      <x:c r="H244" s="18" t="str">
        <x:v>W</x:v>
      </x:c>
      <x:c r="I244" s="21" t="n">
        <x:f>PRODUCT(VLOOKUP(D244,$A$29:$F$42,2,FALSE),VLOOKUP(E244,$A$29:$F$42,3,FALSE),VLOOKUP(F244,$A$29:$F$42,4,FALSE),VLOOKUP(G244,$A$29:$F$42,5,FALSE),VLOOKUP(H244,$A$29:$F$42,6,FALSE))</x:f>
        <x:v>160</x:v>
      </x:c>
      <x:c r="J244" s="22" t="n">
        <x:f>I244/$N$5</x:f>
        <x:v>0.00005</x:v>
      </x:c>
      <x:c r="K244" s="18" t="n">
        <x:f>MAX(INDEX($I$6:$K$11,MATCH(A244,$H$6:$H$11,0),MATCH(B244&amp;"連線",$I$5:$K$5,0)),IF(C244&gt;=3,INDEX($I$6:$K$11,MATCH("W",$H$6:$H$11,0),MATCH(C244&amp;"連線",$I$5:$K$5,0)),0))</x:f>
        <x:v>75</x:v>
      </x:c>
      <x:c r="L244" s="22" t="n">
        <x:f>J244*K244</x:f>
        <x:v>0.0037500000000000003</x:v>
      </x:c>
      <x:c r="M244" s="18" t="str">
        <x:f>IF(K244&gt;INDEX($I$6:$K$11,MATCH(A244,$H$6:$H$11,0),MATCH(B244&amp;"連線",$I$5:$K$5,0)),"取 Wild 連線較高賠率","取一般圖案連線賠率")</x:f>
        <x:v>取一般圖案連線賠率</x:v>
      </x:c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</x:row>
    <x:row r="245">
      <x:c r="A245" s="18" t="str">
        <x:v>10</x:v>
      </x:c>
      <x:c r="B245" s="18" t="n">
        <x:v>5</x:v>
      </x:c>
      <x:c r="C245" s="18" t="n">
        <x:f>IF(D245&lt;&gt;"W",0,IF(E245&lt;&gt;"W",1,IF(F245&lt;&gt;"W",2,IF(G245&lt;&gt;"W",3,IF(H245&lt;&gt;"W",4,5)))))</x:f>
        <x:v>0</x:v>
      </x:c>
      <x:c r="D245" s="18" t="str">
        <x:v>10</x:v>
      </x:c>
      <x:c r="E245" s="18" t="str">
        <x:v>10</x:v>
      </x:c>
      <x:c r="F245" s="18" t="str">
        <x:v>W</x:v>
      </x:c>
      <x:c r="G245" s="18" t="str">
        <x:v>W</x:v>
      </x:c>
      <x:c r="H245" s="18" t="str">
        <x:v>W</x:v>
      </x:c>
      <x:c r="I245" s="21" t="n">
        <x:f>PRODUCT(VLOOKUP(D245,$A$29:$F$42,2,FALSE),VLOOKUP(E245,$A$29:$F$42,3,FALSE),VLOOKUP(F245,$A$29:$F$42,4,FALSE),VLOOKUP(G245,$A$29:$F$42,5,FALSE),VLOOKUP(H245,$A$29:$F$42,6,FALSE))</x:f>
        <x:v>120</x:v>
      </x:c>
      <x:c r="J245" s="22" t="n">
        <x:f>I245/$N$5</x:f>
        <x:v>0.0000375</x:v>
      </x:c>
      <x:c r="K245" s="18" t="n">
        <x:f>MAX(INDEX($I$6:$K$11,MATCH(A245,$H$6:$H$11,0),MATCH(B245&amp;"連線",$I$5:$K$5,0)),IF(C245&gt;=3,INDEX($I$6:$K$11,MATCH("W",$H$6:$H$11,0),MATCH(C245&amp;"連線",$I$5:$K$5,0)),0))</x:f>
        <x:v>75</x:v>
      </x:c>
      <x:c r="L245" s="22" t="n">
        <x:f>J245*K245</x:f>
        <x:v>0.0028125</x:v>
      </x:c>
      <x:c r="M245" s="18" t="str">
        <x:f>IF(K245&gt;INDEX($I$6:$K$11,MATCH(A245,$H$6:$H$11,0),MATCH(B245&amp;"連線",$I$5:$K$5,0)),"取 Wild 連線較高賠率","取一般圖案連線賠率")</x:f>
        <x:v>取一般圖案連線賠率</x:v>
      </x:c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</x:row>
    <x:row r="246">
      <x:c r="A246" s="18" t="str">
        <x:v>10</x:v>
      </x:c>
      <x:c r="B246" s="18" t="n">
        <x:v>5</x:v>
      </x:c>
      <x:c r="C246" s="18" t="n">
        <x:f>IF(D246&lt;&gt;"W",0,IF(E246&lt;&gt;"W",1,IF(F246&lt;&gt;"W",2,IF(G246&lt;&gt;"W",3,IF(H246&lt;&gt;"W",4,5)))))</x:f>
        <x:v>4</x:v>
      </x:c>
      <x:c r="D246" s="18" t="str">
        <x:v>W</x:v>
      </x:c>
      <x:c r="E246" s="18" t="str">
        <x:v>W</x:v>
      </x:c>
      <x:c r="F246" s="18" t="str">
        <x:v>W</x:v>
      </x:c>
      <x:c r="G246" s="18" t="str">
        <x:v>W</x:v>
      </x:c>
      <x:c r="H246" s="18" t="str">
        <x:v>10</x:v>
      </x:c>
      <x:c r="I246" s="21" t="n">
        <x:f>PRODUCT(VLOOKUP(D246,$A$29:$F$42,2,FALSE),VLOOKUP(E246,$A$29:$F$42,3,FALSE),VLOOKUP(F246,$A$29:$F$42,4,FALSE),VLOOKUP(G246,$A$29:$F$42,5,FALSE),VLOOKUP(H246,$A$29:$F$42,6,FALSE))</x:f>
        <x:v>64</x:v>
      </x:c>
      <x:c r="J246" s="22" t="n">
        <x:f>I246/$N$5</x:f>
        <x:v>0.00002</x:v>
      </x:c>
      <x:c r="K246" s="18" t="n">
        <x:f>MAX(INDEX($I$6:$K$11,MATCH(A246,$H$6:$H$11,0),MATCH(B246&amp;"連線",$I$5:$K$5,0)),IF(C246&gt;=3,INDEX($I$6:$K$11,MATCH("W",$H$6:$H$11,0),MATCH(C246&amp;"連線",$I$5:$K$5,0)),0))</x:f>
        <x:v>300</x:v>
      </x:c>
      <x:c r="L246" s="22" t="n">
        <x:f>J246*K246</x:f>
        <x:v>0.006</x:v>
      </x:c>
      <x:c r="M246" s="18" t="str">
        <x:f>IF(K246&gt;INDEX($I$6:$K$11,MATCH(A246,$H$6:$H$11,0),MATCH(B246&amp;"連線",$I$5:$K$5,0)),"取 Wild 連線較高賠率","取一般圖案連線賠率")</x:f>
        <x:v>取 Wild 連線較高賠率</x:v>
      </x:c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>
      <x:c r="A247" s="18" t="str">
        <x:v>10</x:v>
      </x:c>
      <x:c r="B247" s="18" t="n">
        <x:v>5</x:v>
      </x:c>
      <x:c r="C247" s="18" t="n">
        <x:f>IF(D247&lt;&gt;"W",0,IF(E247&lt;&gt;"W",1,IF(F247&lt;&gt;"W",2,IF(G247&lt;&gt;"W",3,IF(H247&lt;&gt;"W",4,5)))))</x:f>
        <x:v>3</x:v>
      </x:c>
      <x:c r="D247" s="18" t="str">
        <x:v>W</x:v>
      </x:c>
      <x:c r="E247" s="18" t="str">
        <x:v>W</x:v>
      </x:c>
      <x:c r="F247" s="18" t="str">
        <x:v>W</x:v>
      </x:c>
      <x:c r="G247" s="18" t="str">
        <x:v>10</x:v>
      </x:c>
      <x:c r="H247" s="18" t="str">
        <x:v>W</x:v>
      </x:c>
      <x:c r="I247" s="21" t="n">
        <x:f>PRODUCT(VLOOKUP(D247,$A$29:$F$42,2,FALSE),VLOOKUP(E247,$A$29:$F$42,3,FALSE),VLOOKUP(F247,$A$29:$F$42,4,FALSE),VLOOKUP(G247,$A$29:$F$42,5,FALSE),VLOOKUP(H247,$A$29:$F$42,6,FALSE))</x:f>
        <x:v>64</x:v>
      </x:c>
      <x:c r="J247" s="22" t="n">
        <x:f>I247/$N$5</x:f>
        <x:v>0.00002</x:v>
      </x:c>
      <x:c r="K247" s="18" t="n">
        <x:f>MAX(INDEX($I$6:$K$11,MATCH(A247,$H$6:$H$11,0),MATCH(B247&amp;"連線",$I$5:$K$5,0)),IF(C247&gt;=3,INDEX($I$6:$K$11,MATCH("W",$H$6:$H$11,0),MATCH(C247&amp;"連線",$I$5:$K$5,0)),0))</x:f>
        <x:v>150</x:v>
      </x:c>
      <x:c r="L247" s="22" t="n">
        <x:f>J247*K247</x:f>
        <x:v>0.003</x:v>
      </x:c>
      <x:c r="M247" s="18" t="str">
        <x:f>IF(K247&gt;INDEX($I$6:$K$11,MATCH(A247,$H$6:$H$11,0),MATCH(B247&amp;"連線",$I$5:$K$5,0)),"取 Wild 連線較高賠率","取一般圖案連線賠率")</x:f>
        <x:v>取 Wild 連線較高賠率</x:v>
      </x:c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</x:row>
    <x:row r="248">
      <x:c r="A248" s="18" t="str">
        <x:v>10</x:v>
      </x:c>
      <x:c r="B248" s="18" t="n">
        <x:v>5</x:v>
      </x:c>
      <x:c r="C248" s="18" t="n">
        <x:f>IF(D248&lt;&gt;"W",0,IF(E248&lt;&gt;"W",1,IF(F248&lt;&gt;"W",2,IF(G248&lt;&gt;"W",3,IF(H248&lt;&gt;"W",4,5)))))</x:f>
        <x:v>2</x:v>
      </x:c>
      <x:c r="D248" s="18" t="str">
        <x:v>W</x:v>
      </x:c>
      <x:c r="E248" s="18" t="str">
        <x:v>W</x:v>
      </x:c>
      <x:c r="F248" s="18" t="str">
        <x:v>10</x:v>
      </x:c>
      <x:c r="G248" s="18" t="str">
        <x:v>W</x:v>
      </x:c>
      <x:c r="H248" s="18" t="str">
        <x:v>W</x:v>
      </x:c>
      <x:c r="I248" s="21" t="n">
        <x:f>PRODUCT(VLOOKUP(D248,$A$29:$F$42,2,FALSE),VLOOKUP(E248,$A$29:$F$42,3,FALSE),VLOOKUP(F248,$A$29:$F$42,4,FALSE),VLOOKUP(G248,$A$29:$F$42,5,FALSE),VLOOKUP(H248,$A$29:$F$42,6,FALSE))</x:f>
        <x:v>64</x:v>
      </x:c>
      <x:c r="J248" s="22" t="n">
        <x:f>I248/$N$5</x:f>
        <x:v>0.00002</x:v>
      </x:c>
      <x:c r="K248" s="18" t="n">
        <x:f>MAX(INDEX($I$6:$K$11,MATCH(A248,$H$6:$H$11,0),MATCH(B248&amp;"連線",$I$5:$K$5,0)),IF(C248&gt;=3,INDEX($I$6:$K$11,MATCH("W",$H$6:$H$11,0),MATCH(C248&amp;"連線",$I$5:$K$5,0)),0))</x:f>
        <x:v>75</x:v>
      </x:c>
      <x:c r="L248" s="22" t="n">
        <x:f>J248*K248</x:f>
        <x:v>0.0015</x:v>
      </x:c>
      <x:c r="M248" s="18" t="str">
        <x:f>IF(K248&gt;INDEX($I$6:$K$11,MATCH(A248,$H$6:$H$11,0),MATCH(B248&amp;"連線",$I$5:$K$5,0)),"取 Wild 連線較高賠率","取一般圖案連線賠率")</x:f>
        <x:v>取一般圖案連線賠率</x:v>
      </x:c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</x:row>
    <x:row r="249">
      <x:c r="A249" s="18" t="str">
        <x:v>10</x:v>
      </x:c>
      <x:c r="B249" s="18" t="n">
        <x:v>5</x:v>
      </x:c>
      <x:c r="C249" s="18" t="n">
        <x:f>IF(D249&lt;&gt;"W",0,IF(E249&lt;&gt;"W",1,IF(F249&lt;&gt;"W",2,IF(G249&lt;&gt;"W",3,IF(H249&lt;&gt;"W",4,5)))))</x:f>
        <x:v>1</x:v>
      </x:c>
      <x:c r="D249" s="18" t="str">
        <x:v>W</x:v>
      </x:c>
      <x:c r="E249" s="18" t="str">
        <x:v>10</x:v>
      </x:c>
      <x:c r="F249" s="18" t="str">
        <x:v>W</x:v>
      </x:c>
      <x:c r="G249" s="18" t="str">
        <x:v>W</x:v>
      </x:c>
      <x:c r="H249" s="18" t="str">
        <x:v>W</x:v>
      </x:c>
      <x:c r="I249" s="21" t="n">
        <x:f>PRODUCT(VLOOKUP(D249,$A$29:$F$42,2,FALSE),VLOOKUP(E249,$A$29:$F$42,3,FALSE),VLOOKUP(F249,$A$29:$F$42,4,FALSE),VLOOKUP(G249,$A$29:$F$42,5,FALSE),VLOOKUP(H249,$A$29:$F$42,6,FALSE))</x:f>
        <x:v>48</x:v>
      </x:c>
      <x:c r="J249" s="22" t="n">
        <x:f>I249/$N$5</x:f>
        <x:v>0.000015</x:v>
      </x:c>
      <x:c r="K249" s="18" t="n">
        <x:f>MAX(INDEX($I$6:$K$11,MATCH(A249,$H$6:$H$11,0),MATCH(B249&amp;"連線",$I$5:$K$5,0)),IF(C249&gt;=3,INDEX($I$6:$K$11,MATCH("W",$H$6:$H$11,0),MATCH(C249&amp;"連線",$I$5:$K$5,0)),0))</x:f>
        <x:v>75</x:v>
      </x:c>
      <x:c r="L249" s="22" t="n">
        <x:f>J249*K249</x:f>
        <x:v>0.0011250000000000001</x:v>
      </x:c>
      <x:c r="M249" s="18" t="str">
        <x:f>IF(K249&gt;INDEX($I$6:$K$11,MATCH(A249,$H$6:$H$11,0),MATCH(B249&amp;"連線",$I$5:$K$5,0)),"取 Wild 連線較高賠率","取一般圖案連線賠率")</x:f>
        <x:v>取一般圖案連線賠率</x:v>
      </x:c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</x:row>
    <x:row r="250">
      <x:c r="A250" s="18" t="str">
        <x:v>10</x:v>
      </x:c>
      <x:c r="B250" s="18" t="n">
        <x:v>5</x:v>
      </x:c>
      <x:c r="C250" s="18" t="n">
        <x:f>IF(D250&lt;&gt;"W",0,IF(E250&lt;&gt;"W",1,IF(F250&lt;&gt;"W",2,IF(G250&lt;&gt;"W",3,IF(H250&lt;&gt;"W",4,5)))))</x:f>
        <x:v>0</x:v>
      </x:c>
      <x:c r="D250" s="18" t="str">
        <x:v>10</x:v>
      </x:c>
      <x:c r="E250" s="18" t="str">
        <x:v>W</x:v>
      </x:c>
      <x:c r="F250" s="18" t="str">
        <x:v>W</x:v>
      </x:c>
      <x:c r="G250" s="18" t="str">
        <x:v>W</x:v>
      </x:c>
      <x:c r="H250" s="18" t="str">
        <x:v>W</x:v>
      </x:c>
      <x:c r="I250" s="21" t="n">
        <x:f>PRODUCT(VLOOKUP(D250,$A$29:$F$42,2,FALSE),VLOOKUP(E250,$A$29:$F$42,3,FALSE),VLOOKUP(F250,$A$29:$F$42,4,FALSE),VLOOKUP(G250,$A$29:$F$42,5,FALSE),VLOOKUP(H250,$A$29:$F$42,6,FALSE))</x:f>
        <x:v>80</x:v>
      </x:c>
      <x:c r="J250" s="22" t="n">
        <x:f>I250/$N$5</x:f>
        <x:v>0.000025</x:v>
      </x:c>
      <x:c r="K250" s="18" t="n">
        <x:f>MAX(INDEX($I$6:$K$11,MATCH(A250,$H$6:$H$11,0),MATCH(B250&amp;"連線",$I$5:$K$5,0)),IF(C250&gt;=3,INDEX($I$6:$K$11,MATCH("W",$H$6:$H$11,0),MATCH(C250&amp;"連線",$I$5:$K$5,0)),0))</x:f>
        <x:v>75</x:v>
      </x:c>
      <x:c r="L250" s="22" t="n">
        <x:f>J250*K250</x:f>
        <x:v>0.0018750000000000001</x:v>
      </x:c>
      <x:c r="M250" s="18" t="str">
        <x:f>IF(K250&gt;INDEX($I$6:$K$11,MATCH(A250,$H$6:$H$11,0),MATCH(B250&amp;"連線",$I$5:$K$5,0)),"取 Wild 連線較高賠率","取一般圖案連線賠率")</x:f>
        <x:v>取一般圖案連線賠率</x:v>
      </x:c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</x:row>
    <x:row r="251">
      <x:c r="A251" s="18" t="str">
        <x:v>10</x:v>
      </x:c>
      <x:c r="B251" s="18" t="n">
        <x:v>4</x:v>
      </x:c>
      <x:c r="C251" s="18" t="n">
        <x:f>IF(D251&lt;&gt;"W",0,IF(E251&lt;&gt;"W",1,IF(F251&lt;&gt;"W",2,IF(G251&lt;&gt;"W",3,IF(H251&lt;&gt;"W",4,5)))))</x:f>
        <x:v>1</x:v>
      </x:c>
      <x:c r="D251" s="18" t="str">
        <x:v>W</x:v>
      </x:c>
      <x:c r="E251" s="18" t="str">
        <x:v>10</x:v>
      </x:c>
      <x:c r="F251" s="18" t="str">
        <x:v>10</x:v>
      </x:c>
      <x:c r="G251" s="18" t="str">
        <x:v>10</x:v>
      </x:c>
      <x:c r="H251" s="18" t="str">
        <x:v>X_W10</x:v>
      </x:c>
      <x:c r="I251" s="21" t="n">
        <x:f>PRODUCT(VLOOKUP(D251,$A$29:$F$42,2,FALSE),VLOOKUP(E251,$A$29:$F$42,3,FALSE),VLOOKUP(F251,$A$29:$F$42,4,FALSE),VLOOKUP(G251,$A$29:$F$42,5,FALSE),VLOOKUP(H251,$A$29:$F$42,6,FALSE))</x:f>
        <x:v>1344</x:v>
      </x:c>
      <x:c r="J251" s="22" t="n">
        <x:f>I251/$N$5</x:f>
        <x:v>0.00042</x:v>
      </x:c>
      <x:c r="K251" s="18" t="n">
        <x:f>MAX(INDEX($I$6:$K$11,MATCH(A251,$H$6:$H$11,0),MATCH(B251&amp;"連線",$I$5:$K$5,0)),IF(C251&gt;=3,INDEX($I$6:$K$11,MATCH("W",$H$6:$H$11,0),MATCH(C251&amp;"連線",$I$5:$K$5,0)),0))</x:f>
        <x:v>20</x:v>
      </x:c>
      <x:c r="L251" s="22" t="n">
        <x:f>J251*K251</x:f>
        <x:v>0.008400000000000001</x:v>
      </x:c>
      <x:c r="M251" s="18" t="str">
        <x:f>IF(K251&gt;INDEX($I$6:$K$11,MATCH(A251,$H$6:$H$11,0),MATCH(B251&amp;"連線",$I$5:$K$5,0)),"取 Wild 連線較高賠率","取一般圖案連線賠率")</x:f>
        <x:v>取一般圖案連線賠率</x:v>
      </x:c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</x:row>
    <x:row r="252">
      <x:c r="A252" s="18" t="str">
        <x:v>10</x:v>
      </x:c>
      <x:c r="B252" s="18" t="n">
        <x:v>4</x:v>
      </x:c>
      <x:c r="C252" s="18" t="n">
        <x:f>IF(D252&lt;&gt;"W",0,IF(E252&lt;&gt;"W",1,IF(F252&lt;&gt;"W",2,IF(G252&lt;&gt;"W",3,IF(H252&lt;&gt;"W",4,5)))))</x:f>
        <x:v>0</x:v>
      </x:c>
      <x:c r="D252" s="18" t="str">
        <x:v>10</x:v>
      </x:c>
      <x:c r="E252" s="18" t="str">
        <x:v>W</x:v>
      </x:c>
      <x:c r="F252" s="18" t="str">
        <x:v>10</x:v>
      </x:c>
      <x:c r="G252" s="18" t="str">
        <x:v>10</x:v>
      </x:c>
      <x:c r="H252" s="18" t="str">
        <x:v>X_W10</x:v>
      </x:c>
      <x:c r="I252" s="21" t="n">
        <x:f>PRODUCT(VLOOKUP(D252,$A$29:$F$42,2,FALSE),VLOOKUP(E252,$A$29:$F$42,3,FALSE),VLOOKUP(F252,$A$29:$F$42,4,FALSE),VLOOKUP(G252,$A$29:$F$42,5,FALSE),VLOOKUP(H252,$A$29:$F$42,6,FALSE))</x:f>
        <x:v>2240</x:v>
      </x:c>
      <x:c r="J252" s="22" t="n">
        <x:f>I252/$N$5</x:f>
        <x:v>0.0007</x:v>
      </x:c>
      <x:c r="K252" s="18" t="n">
        <x:f>MAX(INDEX($I$6:$K$11,MATCH(A252,$H$6:$H$11,0),MATCH(B252&amp;"連線",$I$5:$K$5,0)),IF(C252&gt;=3,INDEX($I$6:$K$11,MATCH("W",$H$6:$H$11,0),MATCH(C252&amp;"連線",$I$5:$K$5,0)),0))</x:f>
        <x:v>20</x:v>
      </x:c>
      <x:c r="L252" s="22" t="n">
        <x:f>J252*K252</x:f>
        <x:v>0.014</x:v>
      </x:c>
      <x:c r="M252" s="18" t="str">
        <x:f>IF(K252&gt;INDEX($I$6:$K$11,MATCH(A252,$H$6:$H$11,0),MATCH(B252&amp;"連線",$I$5:$K$5,0)),"取 Wild 連線較高賠率","取一般圖案連線賠率")</x:f>
        <x:v>取一般圖案連線賠率</x:v>
      </x:c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</x:row>
    <x:row r="253">
      <x:c r="A253" s="18" t="str">
        <x:v>10</x:v>
      </x:c>
      <x:c r="B253" s="18" t="n">
        <x:v>4</x:v>
      </x:c>
      <x:c r="C253" s="18" t="n">
        <x:f>IF(D253&lt;&gt;"W",0,IF(E253&lt;&gt;"W",1,IF(F253&lt;&gt;"W",2,IF(G253&lt;&gt;"W",3,IF(H253&lt;&gt;"W",4,5)))))</x:f>
        <x:v>0</x:v>
      </x:c>
      <x:c r="D253" s="18" t="str">
        <x:v>10</x:v>
      </x:c>
      <x:c r="E253" s="18" t="str">
        <x:v>10</x:v>
      </x:c>
      <x:c r="F253" s="18" t="str">
        <x:v>W</x:v>
      </x:c>
      <x:c r="G253" s="18" t="str">
        <x:v>10</x:v>
      </x:c>
      <x:c r="H253" s="18" t="str">
        <x:v>X_W10</x:v>
      </x:c>
      <x:c r="I253" s="21" t="n">
        <x:f>PRODUCT(VLOOKUP(D253,$A$29:$F$42,2,FALSE),VLOOKUP(E253,$A$29:$F$42,3,FALSE),VLOOKUP(F253,$A$29:$F$42,4,FALSE),VLOOKUP(G253,$A$29:$F$42,5,FALSE),VLOOKUP(H253,$A$29:$F$42,6,FALSE))</x:f>
        <x:v>1680</x:v>
      </x:c>
      <x:c r="J253" s="22" t="n">
        <x:f>I253/$N$5</x:f>
        <x:v>0.000525</x:v>
      </x:c>
      <x:c r="K253" s="18" t="n">
        <x:f>MAX(INDEX($I$6:$K$11,MATCH(A253,$H$6:$H$11,0),MATCH(B253&amp;"連線",$I$5:$K$5,0)),IF(C253&gt;=3,INDEX($I$6:$K$11,MATCH("W",$H$6:$H$11,0),MATCH(C253&amp;"連線",$I$5:$K$5,0)),0))</x:f>
        <x:v>20</x:v>
      </x:c>
      <x:c r="L253" s="22" t="n">
        <x:f>J253*K253</x:f>
        <x:v>0.010499999999999999</x:v>
      </x:c>
      <x:c r="M253" s="18" t="str">
        <x:f>IF(K253&gt;INDEX($I$6:$K$11,MATCH(A253,$H$6:$H$11,0),MATCH(B253&amp;"連線",$I$5:$K$5,0)),"取 Wild 連線較高賠率","取一般圖案連線賠率")</x:f>
        <x:v>取一般圖案連線賠率</x:v>
      </x:c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</x:row>
    <x:row r="254">
      <x:c r="A254" s="18" t="str">
        <x:v>10</x:v>
      </x:c>
      <x:c r="B254" s="18" t="n">
        <x:v>4</x:v>
      </x:c>
      <x:c r="C254" s="18" t="n">
        <x:f>IF(D254&lt;&gt;"W",0,IF(E254&lt;&gt;"W",1,IF(F254&lt;&gt;"W",2,IF(G254&lt;&gt;"W",3,IF(H254&lt;&gt;"W",4,5)))))</x:f>
        <x:v>0</x:v>
      </x:c>
      <x:c r="D254" s="18" t="str">
        <x:v>10</x:v>
      </x:c>
      <x:c r="E254" s="18" t="str">
        <x:v>10</x:v>
      </x:c>
      <x:c r="F254" s="18" t="str">
        <x:v>10</x:v>
      </x:c>
      <x:c r="G254" s="18" t="str">
        <x:v>W</x:v>
      </x:c>
      <x:c r="H254" s="18" t="str">
        <x:v>X_W10</x:v>
      </x:c>
      <x:c r="I254" s="21" t="n">
        <x:f>PRODUCT(VLOOKUP(D254,$A$29:$F$42,2,FALSE),VLOOKUP(E254,$A$29:$F$42,3,FALSE),VLOOKUP(F254,$A$29:$F$42,4,FALSE),VLOOKUP(G254,$A$29:$F$42,5,FALSE),VLOOKUP(H254,$A$29:$F$42,6,FALSE))</x:f>
        <x:v>1680</x:v>
      </x:c>
      <x:c r="J254" s="22" t="n">
        <x:f>I254/$N$5</x:f>
        <x:v>0.000525</x:v>
      </x:c>
      <x:c r="K254" s="18" t="n">
        <x:f>MAX(INDEX($I$6:$K$11,MATCH(A254,$H$6:$H$11,0),MATCH(B254&amp;"連線",$I$5:$K$5,0)),IF(C254&gt;=3,INDEX($I$6:$K$11,MATCH("W",$H$6:$H$11,0),MATCH(C254&amp;"連線",$I$5:$K$5,0)),0))</x:f>
        <x:v>20</x:v>
      </x:c>
      <x:c r="L254" s="22" t="n">
        <x:f>J254*K254</x:f>
        <x:v>0.010499999999999999</x:v>
      </x:c>
      <x:c r="M254" s="18" t="str">
        <x:f>IF(K254&gt;INDEX($I$6:$K$11,MATCH(A254,$H$6:$H$11,0),MATCH(B254&amp;"連線",$I$5:$K$5,0)),"取 Wild 連線較高賠率","取一般圖案連線賠率")</x:f>
        <x:v>取一般圖案連線賠率</x:v>
      </x:c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</x:row>
    <x:row r="255">
      <x:c r="A255" s="18" t="str">
        <x:v>10</x:v>
      </x:c>
      <x:c r="B255" s="18" t="n">
        <x:v>4</x:v>
      </x:c>
      <x:c r="C255" s="18" t="n">
        <x:f>IF(D255&lt;&gt;"W",0,IF(E255&lt;&gt;"W",1,IF(F255&lt;&gt;"W",2,IF(G255&lt;&gt;"W",3,IF(H255&lt;&gt;"W",4,5)))))</x:f>
        <x:v>2</x:v>
      </x:c>
      <x:c r="D255" s="18" t="str">
        <x:v>W</x:v>
      </x:c>
      <x:c r="E255" s="18" t="str">
        <x:v>W</x:v>
      </x:c>
      <x:c r="F255" s="18" t="str">
        <x:v>10</x:v>
      </x:c>
      <x:c r="G255" s="18" t="str">
        <x:v>10</x:v>
      </x:c>
      <x:c r="H255" s="18" t="str">
        <x:v>X_W10</x:v>
      </x:c>
      <x:c r="I255" s="21" t="n">
        <x:f>PRODUCT(VLOOKUP(D255,$A$29:$F$42,2,FALSE),VLOOKUP(E255,$A$29:$F$42,3,FALSE),VLOOKUP(F255,$A$29:$F$42,4,FALSE),VLOOKUP(G255,$A$29:$F$42,5,FALSE),VLOOKUP(H255,$A$29:$F$42,6,FALSE))</x:f>
        <x:v>896</x:v>
      </x:c>
      <x:c r="J255" s="22" t="n">
        <x:f>I255/$N$5</x:f>
        <x:v>0.00028</x:v>
      </x:c>
      <x:c r="K255" s="18" t="n">
        <x:f>MAX(INDEX($I$6:$K$11,MATCH(A255,$H$6:$H$11,0),MATCH(B255&amp;"連線",$I$5:$K$5,0)),IF(C255&gt;=3,INDEX($I$6:$K$11,MATCH("W",$H$6:$H$11,0),MATCH(C255&amp;"連線",$I$5:$K$5,0)),0))</x:f>
        <x:v>20</x:v>
      </x:c>
      <x:c r="L255" s="22" t="n">
        <x:f>J255*K255</x:f>
        <x:v>0.005599999999999999</x:v>
      </x:c>
      <x:c r="M255" s="18" t="str">
        <x:f>IF(K255&gt;INDEX($I$6:$K$11,MATCH(A255,$H$6:$H$11,0),MATCH(B255&amp;"連線",$I$5:$K$5,0)),"取 Wild 連線較高賠率","取一般圖案連線賠率")</x:f>
        <x:v>取一般圖案連線賠率</x:v>
      </x:c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</x:row>
    <x:row r="256">
      <x:c r="A256" s="18" t="str">
        <x:v>10</x:v>
      </x:c>
      <x:c r="B256" s="18" t="n">
        <x:v>4</x:v>
      </x:c>
      <x:c r="C256" s="18" t="n">
        <x:f>IF(D256&lt;&gt;"W",0,IF(E256&lt;&gt;"W",1,IF(F256&lt;&gt;"W",2,IF(G256&lt;&gt;"W",3,IF(H256&lt;&gt;"W",4,5)))))</x:f>
        <x:v>1</x:v>
      </x:c>
      <x:c r="D256" s="18" t="str">
        <x:v>W</x:v>
      </x:c>
      <x:c r="E256" s="18" t="str">
        <x:v>10</x:v>
      </x:c>
      <x:c r="F256" s="18" t="str">
        <x:v>W</x:v>
      </x:c>
      <x:c r="G256" s="18" t="str">
        <x:v>10</x:v>
      </x:c>
      <x:c r="H256" s="18" t="str">
        <x:v>X_W10</x:v>
      </x:c>
      <x:c r="I256" s="21" t="n">
        <x:f>PRODUCT(VLOOKUP(D256,$A$29:$F$42,2,FALSE),VLOOKUP(E256,$A$29:$F$42,3,FALSE),VLOOKUP(F256,$A$29:$F$42,4,FALSE),VLOOKUP(G256,$A$29:$F$42,5,FALSE),VLOOKUP(H256,$A$29:$F$42,6,FALSE))</x:f>
        <x:v>672</x:v>
      </x:c>
      <x:c r="J256" s="22" t="n">
        <x:f>I256/$N$5</x:f>
        <x:v>0.00021</x:v>
      </x:c>
      <x:c r="K256" s="18" t="n">
        <x:f>MAX(INDEX($I$6:$K$11,MATCH(A256,$H$6:$H$11,0),MATCH(B256&amp;"連線",$I$5:$K$5,0)),IF(C256&gt;=3,INDEX($I$6:$K$11,MATCH("W",$H$6:$H$11,0),MATCH(C256&amp;"連線",$I$5:$K$5,0)),0))</x:f>
        <x:v>20</x:v>
      </x:c>
      <x:c r="L256" s="22" t="n">
        <x:f>J256*K256</x:f>
        <x:v>0.004200000000000001</x:v>
      </x:c>
      <x:c r="M256" s="18" t="str">
        <x:f>IF(K256&gt;INDEX($I$6:$K$11,MATCH(A256,$H$6:$H$11,0),MATCH(B256&amp;"連線",$I$5:$K$5,0)),"取 Wild 連線較高賠率","取一般圖案連線賠率")</x:f>
        <x:v>取一般圖案連線賠率</x:v>
      </x:c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</x:row>
    <x:row r="257">
      <x:c r="A257" s="18" t="str">
        <x:v>10</x:v>
      </x:c>
      <x:c r="B257" s="18" t="n">
        <x:v>4</x:v>
      </x:c>
      <x:c r="C257" s="18" t="n">
        <x:f>IF(D257&lt;&gt;"W",0,IF(E257&lt;&gt;"W",1,IF(F257&lt;&gt;"W",2,IF(G257&lt;&gt;"W",3,IF(H257&lt;&gt;"W",4,5)))))</x:f>
        <x:v>1</x:v>
      </x:c>
      <x:c r="D257" s="18" t="str">
        <x:v>W</x:v>
      </x:c>
      <x:c r="E257" s="18" t="str">
        <x:v>10</x:v>
      </x:c>
      <x:c r="F257" s="18" t="str">
        <x:v>10</x:v>
      </x:c>
      <x:c r="G257" s="18" t="str">
        <x:v>W</x:v>
      </x:c>
      <x:c r="H257" s="18" t="str">
        <x:v>X_W10</x:v>
      </x:c>
      <x:c r="I257" s="21" t="n">
        <x:f>PRODUCT(VLOOKUP(D257,$A$29:$F$42,2,FALSE),VLOOKUP(E257,$A$29:$F$42,3,FALSE),VLOOKUP(F257,$A$29:$F$42,4,FALSE),VLOOKUP(G257,$A$29:$F$42,5,FALSE),VLOOKUP(H257,$A$29:$F$42,6,FALSE))</x:f>
        <x:v>672</x:v>
      </x:c>
      <x:c r="J257" s="22" t="n">
        <x:f>I257/$N$5</x:f>
        <x:v>0.00021</x:v>
      </x:c>
      <x:c r="K257" s="18" t="n">
        <x:f>MAX(INDEX($I$6:$K$11,MATCH(A257,$H$6:$H$11,0),MATCH(B257&amp;"連線",$I$5:$K$5,0)),IF(C257&gt;=3,INDEX($I$6:$K$11,MATCH("W",$H$6:$H$11,0),MATCH(C257&amp;"連線",$I$5:$K$5,0)),0))</x:f>
        <x:v>20</x:v>
      </x:c>
      <x:c r="L257" s="22" t="n">
        <x:f>J257*K257</x:f>
        <x:v>0.004200000000000001</x:v>
      </x:c>
      <x:c r="M257" s="18" t="str">
        <x:f>IF(K257&gt;INDEX($I$6:$K$11,MATCH(A257,$H$6:$H$11,0),MATCH(B257&amp;"連線",$I$5:$K$5,0)),"取 Wild 連線較高賠率","取一般圖案連線賠率")</x:f>
        <x:v>取一般圖案連線賠率</x:v>
      </x:c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</x:row>
    <x:row r="258">
      <x:c r="A258" s="18" t="str">
        <x:v>10</x:v>
      </x:c>
      <x:c r="B258" s="18" t="n">
        <x:v>4</x:v>
      </x:c>
      <x:c r="C258" s="18" t="n">
        <x:f>IF(D258&lt;&gt;"W",0,IF(E258&lt;&gt;"W",1,IF(F258&lt;&gt;"W",2,IF(G258&lt;&gt;"W",3,IF(H258&lt;&gt;"W",4,5)))))</x:f>
        <x:v>0</x:v>
      </x:c>
      <x:c r="D258" s="18" t="str">
        <x:v>10</x:v>
      </x:c>
      <x:c r="E258" s="18" t="str">
        <x:v>W</x:v>
      </x:c>
      <x:c r="F258" s="18" t="str">
        <x:v>W</x:v>
      </x:c>
      <x:c r="G258" s="18" t="str">
        <x:v>10</x:v>
      </x:c>
      <x:c r="H258" s="18" t="str">
        <x:v>X_W10</x:v>
      </x:c>
      <x:c r="I258" s="21" t="n">
        <x:f>PRODUCT(VLOOKUP(D258,$A$29:$F$42,2,FALSE),VLOOKUP(E258,$A$29:$F$42,3,FALSE),VLOOKUP(F258,$A$29:$F$42,4,FALSE),VLOOKUP(G258,$A$29:$F$42,5,FALSE),VLOOKUP(H258,$A$29:$F$42,6,FALSE))</x:f>
        <x:v>1120</x:v>
      </x:c>
      <x:c r="J258" s="22" t="n">
        <x:f>I258/$N$5</x:f>
        <x:v>0.00035</x:v>
      </x:c>
      <x:c r="K258" s="18" t="n">
        <x:f>MAX(INDEX($I$6:$K$11,MATCH(A258,$H$6:$H$11,0),MATCH(B258&amp;"連線",$I$5:$K$5,0)),IF(C258&gt;=3,INDEX($I$6:$K$11,MATCH("W",$H$6:$H$11,0),MATCH(C258&amp;"連線",$I$5:$K$5,0)),0))</x:f>
        <x:v>20</x:v>
      </x:c>
      <x:c r="L258" s="22" t="n">
        <x:f>J258*K258</x:f>
        <x:v>0.007</x:v>
      </x:c>
      <x:c r="M258" s="18" t="str">
        <x:f>IF(K258&gt;INDEX($I$6:$K$11,MATCH(A258,$H$6:$H$11,0),MATCH(B258&amp;"連線",$I$5:$K$5,0)),"取 Wild 連線較高賠率","取一般圖案連線賠率")</x:f>
        <x:v>取一般圖案連線賠率</x:v>
      </x:c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</x:row>
    <x:row r="259">
      <x:c r="A259" s="18" t="str">
        <x:v>10</x:v>
      </x:c>
      <x:c r="B259" s="18" t="n">
        <x:v>4</x:v>
      </x:c>
      <x:c r="C259" s="18" t="n">
        <x:f>IF(D259&lt;&gt;"W",0,IF(E259&lt;&gt;"W",1,IF(F259&lt;&gt;"W",2,IF(G259&lt;&gt;"W",3,IF(H259&lt;&gt;"W",4,5)))))</x:f>
        <x:v>0</x:v>
      </x:c>
      <x:c r="D259" s="18" t="str">
        <x:v>10</x:v>
      </x:c>
      <x:c r="E259" s="18" t="str">
        <x:v>W</x:v>
      </x:c>
      <x:c r="F259" s="18" t="str">
        <x:v>10</x:v>
      </x:c>
      <x:c r="G259" s="18" t="str">
        <x:v>W</x:v>
      </x:c>
      <x:c r="H259" s="18" t="str">
        <x:v>X_W10</x:v>
      </x:c>
      <x:c r="I259" s="21" t="n">
        <x:f>PRODUCT(VLOOKUP(D259,$A$29:$F$42,2,FALSE),VLOOKUP(E259,$A$29:$F$42,3,FALSE),VLOOKUP(F259,$A$29:$F$42,4,FALSE),VLOOKUP(G259,$A$29:$F$42,5,FALSE),VLOOKUP(H259,$A$29:$F$42,6,FALSE))</x:f>
        <x:v>1120</x:v>
      </x:c>
      <x:c r="J259" s="22" t="n">
        <x:f>I259/$N$5</x:f>
        <x:v>0.00035</x:v>
      </x:c>
      <x:c r="K259" s="18" t="n">
        <x:f>MAX(INDEX($I$6:$K$11,MATCH(A259,$H$6:$H$11,0),MATCH(B259&amp;"連線",$I$5:$K$5,0)),IF(C259&gt;=3,INDEX($I$6:$K$11,MATCH("W",$H$6:$H$11,0),MATCH(C259&amp;"連線",$I$5:$K$5,0)),0))</x:f>
        <x:v>20</x:v>
      </x:c>
      <x:c r="L259" s="22" t="n">
        <x:f>J259*K259</x:f>
        <x:v>0.007</x:v>
      </x:c>
      <x:c r="M259" s="18" t="str">
        <x:f>IF(K259&gt;INDEX($I$6:$K$11,MATCH(A259,$H$6:$H$11,0),MATCH(B259&amp;"連線",$I$5:$K$5,0)),"取 Wild 連線較高賠率","取一般圖案連線賠率")</x:f>
        <x:v>取一般圖案連線賠率</x:v>
      </x:c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</x:row>
    <x:row r="260">
      <x:c r="A260" s="18" t="str">
        <x:v>10</x:v>
      </x:c>
      <x:c r="B260" s="18" t="n">
        <x:v>4</x:v>
      </x:c>
      <x:c r="C260" s="18" t="n">
        <x:f>IF(D260&lt;&gt;"W",0,IF(E260&lt;&gt;"W",1,IF(F260&lt;&gt;"W",2,IF(G260&lt;&gt;"W",3,IF(H260&lt;&gt;"W",4,5)))))</x:f>
        <x:v>0</x:v>
      </x:c>
      <x:c r="D260" s="18" t="str">
        <x:v>10</x:v>
      </x:c>
      <x:c r="E260" s="18" t="str">
        <x:v>10</x:v>
      </x:c>
      <x:c r="F260" s="18" t="str">
        <x:v>W</x:v>
      </x:c>
      <x:c r="G260" s="18" t="str">
        <x:v>W</x:v>
      </x:c>
      <x:c r="H260" s="18" t="str">
        <x:v>X_W10</x:v>
      </x:c>
      <x:c r="I260" s="21" t="n">
        <x:f>PRODUCT(VLOOKUP(D260,$A$29:$F$42,2,FALSE),VLOOKUP(E260,$A$29:$F$42,3,FALSE),VLOOKUP(F260,$A$29:$F$42,4,FALSE),VLOOKUP(G260,$A$29:$F$42,5,FALSE),VLOOKUP(H260,$A$29:$F$42,6,FALSE))</x:f>
        <x:v>840</x:v>
      </x:c>
      <x:c r="J260" s="22" t="n">
        <x:f>I260/$N$5</x:f>
        <x:v>0.0002625</x:v>
      </x:c>
      <x:c r="K260" s="18" t="n">
        <x:f>MAX(INDEX($I$6:$K$11,MATCH(A260,$H$6:$H$11,0),MATCH(B260&amp;"連線",$I$5:$K$5,0)),IF(C260&gt;=3,INDEX($I$6:$K$11,MATCH("W",$H$6:$H$11,0),MATCH(C260&amp;"連線",$I$5:$K$5,0)),0))</x:f>
        <x:v>20</x:v>
      </x:c>
      <x:c r="L260" s="22" t="n">
        <x:f>J260*K260</x:f>
        <x:v>0.0052499999999999995</x:v>
      </x:c>
      <x:c r="M260" s="18" t="str">
        <x:f>IF(K260&gt;INDEX($I$6:$K$11,MATCH(A260,$H$6:$H$11,0),MATCH(B260&amp;"連線",$I$5:$K$5,0)),"取 Wild 連線較高賠率","取一般圖案連線賠率")</x:f>
        <x:v>取一般圖案連線賠率</x:v>
      </x:c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</x:row>
    <x:row r="261">
      <x:c r="A261" s="18" t="str">
        <x:v>10</x:v>
      </x:c>
      <x:c r="B261" s="18" t="n">
        <x:v>4</x:v>
      </x:c>
      <x:c r="C261" s="18" t="n">
        <x:f>IF(D261&lt;&gt;"W",0,IF(E261&lt;&gt;"W",1,IF(F261&lt;&gt;"W",2,IF(G261&lt;&gt;"W",3,IF(H261&lt;&gt;"W",4,5)))))</x:f>
        <x:v>3</x:v>
      </x:c>
      <x:c r="D261" s="18" t="str">
        <x:v>W</x:v>
      </x:c>
      <x:c r="E261" s="18" t="str">
        <x:v>W</x:v>
      </x:c>
      <x:c r="F261" s="18" t="str">
        <x:v>W</x:v>
      </x:c>
      <x:c r="G261" s="18" t="str">
        <x:v>10</x:v>
      </x:c>
      <x:c r="H261" s="18" t="str">
        <x:v>X_W10</x:v>
      </x:c>
      <x:c r="I261" s="21" t="n">
        <x:f>PRODUCT(VLOOKUP(D261,$A$29:$F$42,2,FALSE),VLOOKUP(E261,$A$29:$F$42,3,FALSE),VLOOKUP(F261,$A$29:$F$42,4,FALSE),VLOOKUP(G261,$A$29:$F$42,5,FALSE),VLOOKUP(H261,$A$29:$F$42,6,FALSE))</x:f>
        <x:v>448</x:v>
      </x:c>
      <x:c r="J261" s="22" t="n">
        <x:f>I261/$N$5</x:f>
        <x:v>0.00014</x:v>
      </x:c>
      <x:c r="K261" s="18" t="n">
        <x:f>MAX(INDEX($I$6:$K$11,MATCH(A261,$H$6:$H$11,0),MATCH(B261&amp;"連線",$I$5:$K$5,0)),IF(C261&gt;=3,INDEX($I$6:$K$11,MATCH("W",$H$6:$H$11,0),MATCH(C261&amp;"連線",$I$5:$K$5,0)),0))</x:f>
        <x:v>150</x:v>
      </x:c>
      <x:c r="L261" s="22" t="n">
        <x:f>J261*K261</x:f>
        <x:v>0.020999999999999998</x:v>
      </x:c>
      <x:c r="M261" s="18" t="str">
        <x:f>IF(K261&gt;INDEX($I$6:$K$11,MATCH(A261,$H$6:$H$11,0),MATCH(B261&amp;"連線",$I$5:$K$5,0)),"取 Wild 連線較高賠率","取一般圖案連線賠率")</x:f>
        <x:v>取 Wild 連線較高賠率</x:v>
      </x:c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</x:row>
    <x:row r="262">
      <x:c r="A262" s="18" t="str">
        <x:v>10</x:v>
      </x:c>
      <x:c r="B262" s="18" t="n">
        <x:v>4</x:v>
      </x:c>
      <x:c r="C262" s="18" t="n">
        <x:f>IF(D262&lt;&gt;"W",0,IF(E262&lt;&gt;"W",1,IF(F262&lt;&gt;"W",2,IF(G262&lt;&gt;"W",3,IF(H262&lt;&gt;"W",4,5)))))</x:f>
        <x:v>2</x:v>
      </x:c>
      <x:c r="D262" s="18" t="str">
        <x:v>W</x:v>
      </x:c>
      <x:c r="E262" s="18" t="str">
        <x:v>W</x:v>
      </x:c>
      <x:c r="F262" s="18" t="str">
        <x:v>10</x:v>
      </x:c>
      <x:c r="G262" s="18" t="str">
        <x:v>W</x:v>
      </x:c>
      <x:c r="H262" s="18" t="str">
        <x:v>X_W10</x:v>
      </x:c>
      <x:c r="I262" s="21" t="n">
        <x:f>PRODUCT(VLOOKUP(D262,$A$29:$F$42,2,FALSE),VLOOKUP(E262,$A$29:$F$42,3,FALSE),VLOOKUP(F262,$A$29:$F$42,4,FALSE),VLOOKUP(G262,$A$29:$F$42,5,FALSE),VLOOKUP(H262,$A$29:$F$42,6,FALSE))</x:f>
        <x:v>448</x:v>
      </x:c>
      <x:c r="J262" s="22" t="n">
        <x:f>I262/$N$5</x:f>
        <x:v>0.00014</x:v>
      </x:c>
      <x:c r="K262" s="18" t="n">
        <x:f>MAX(INDEX($I$6:$K$11,MATCH(A262,$H$6:$H$11,0),MATCH(B262&amp;"連線",$I$5:$K$5,0)),IF(C262&gt;=3,INDEX($I$6:$K$11,MATCH("W",$H$6:$H$11,0),MATCH(C262&amp;"連線",$I$5:$K$5,0)),0))</x:f>
        <x:v>20</x:v>
      </x:c>
      <x:c r="L262" s="22" t="n">
        <x:f>J262*K262</x:f>
        <x:v>0.0027999999999999995</x:v>
      </x:c>
      <x:c r="M262" s="18" t="str">
        <x:f>IF(K262&gt;INDEX($I$6:$K$11,MATCH(A262,$H$6:$H$11,0),MATCH(B262&amp;"連線",$I$5:$K$5,0)),"取 Wild 連線較高賠率","取一般圖案連線賠率")</x:f>
        <x:v>取一般圖案連線賠率</x:v>
      </x:c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</x:row>
    <x:row r="263">
      <x:c r="A263" s="18" t="str">
        <x:v>10</x:v>
      </x:c>
      <x:c r="B263" s="18" t="n">
        <x:v>4</x:v>
      </x:c>
      <x:c r="C263" s="18" t="n">
        <x:f>IF(D263&lt;&gt;"W",0,IF(E263&lt;&gt;"W",1,IF(F263&lt;&gt;"W",2,IF(G263&lt;&gt;"W",3,IF(H263&lt;&gt;"W",4,5)))))</x:f>
        <x:v>1</x:v>
      </x:c>
      <x:c r="D263" s="18" t="str">
        <x:v>W</x:v>
      </x:c>
      <x:c r="E263" s="18" t="str">
        <x:v>10</x:v>
      </x:c>
      <x:c r="F263" s="18" t="str">
        <x:v>W</x:v>
      </x:c>
      <x:c r="G263" s="18" t="str">
        <x:v>W</x:v>
      </x:c>
      <x:c r="H263" s="18" t="str">
        <x:v>X_W10</x:v>
      </x:c>
      <x:c r="I263" s="21" t="n">
        <x:f>PRODUCT(VLOOKUP(D263,$A$29:$F$42,2,FALSE),VLOOKUP(E263,$A$29:$F$42,3,FALSE),VLOOKUP(F263,$A$29:$F$42,4,FALSE),VLOOKUP(G263,$A$29:$F$42,5,FALSE),VLOOKUP(H263,$A$29:$F$42,6,FALSE))</x:f>
        <x:v>336</x:v>
      </x:c>
      <x:c r="J263" s="22" t="n">
        <x:f>I263/$N$5</x:f>
        <x:v>0.000105</x:v>
      </x:c>
      <x:c r="K263" s="18" t="n">
        <x:f>MAX(INDEX($I$6:$K$11,MATCH(A263,$H$6:$H$11,0),MATCH(B263&amp;"連線",$I$5:$K$5,0)),IF(C263&gt;=3,INDEX($I$6:$K$11,MATCH("W",$H$6:$H$11,0),MATCH(C263&amp;"連線",$I$5:$K$5,0)),0))</x:f>
        <x:v>20</x:v>
      </x:c>
      <x:c r="L263" s="22" t="n">
        <x:f>J263*K263</x:f>
        <x:v>0.0021000000000000003</x:v>
      </x:c>
      <x:c r="M263" s="18" t="str">
        <x:f>IF(K263&gt;INDEX($I$6:$K$11,MATCH(A263,$H$6:$H$11,0),MATCH(B263&amp;"連線",$I$5:$K$5,0)),"取 Wild 連線較高賠率","取一般圖案連線賠率")</x:f>
        <x:v>取一般圖案連線賠率</x:v>
      </x:c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</x:row>
    <x:row r="264">
      <x:c r="A264" s="18" t="str">
        <x:v>10</x:v>
      </x:c>
      <x:c r="B264" s="18" t="n">
        <x:v>4</x:v>
      </x:c>
      <x:c r="C264" s="18" t="n">
        <x:f>IF(D264&lt;&gt;"W",0,IF(E264&lt;&gt;"W",1,IF(F264&lt;&gt;"W",2,IF(G264&lt;&gt;"W",3,IF(H264&lt;&gt;"W",4,5)))))</x:f>
        <x:v>0</x:v>
      </x:c>
      <x:c r="D264" s="18" t="str">
        <x:v>10</x:v>
      </x:c>
      <x:c r="E264" s="18" t="str">
        <x:v>W</x:v>
      </x:c>
      <x:c r="F264" s="18" t="str">
        <x:v>W</x:v>
      </x:c>
      <x:c r="G264" s="18" t="str">
        <x:v>W</x:v>
      </x:c>
      <x:c r="H264" s="18" t="str">
        <x:v>X_W10</x:v>
      </x:c>
      <x:c r="I264" s="21" t="n">
        <x:f>PRODUCT(VLOOKUP(D264,$A$29:$F$42,2,FALSE),VLOOKUP(E264,$A$29:$F$42,3,FALSE),VLOOKUP(F264,$A$29:$F$42,4,FALSE),VLOOKUP(G264,$A$29:$F$42,5,FALSE),VLOOKUP(H264,$A$29:$F$42,6,FALSE))</x:f>
        <x:v>560</x:v>
      </x:c>
      <x:c r="J264" s="22" t="n">
        <x:f>I264/$N$5</x:f>
        <x:v>0.000175</x:v>
      </x:c>
      <x:c r="K264" s="18" t="n">
        <x:f>MAX(INDEX($I$6:$K$11,MATCH(A264,$H$6:$H$11,0),MATCH(B264&amp;"連線",$I$5:$K$5,0)),IF(C264&gt;=3,INDEX($I$6:$K$11,MATCH("W",$H$6:$H$11,0),MATCH(C264&amp;"連線",$I$5:$K$5,0)),0))</x:f>
        <x:v>20</x:v>
      </x:c>
      <x:c r="L264" s="22" t="n">
        <x:f>J264*K264</x:f>
        <x:v>0.0035</x:v>
      </x:c>
      <x:c r="M264" s="18" t="str">
        <x:f>IF(K264&gt;INDEX($I$6:$K$11,MATCH(A264,$H$6:$H$11,0),MATCH(B264&amp;"連線",$I$5:$K$5,0)),"取 Wild 連線較高賠率","取一般圖案連線賠率")</x:f>
        <x:v>取一般圖案連線賠率</x:v>
      </x:c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</x:row>
    <x:row r="265">
      <x:c r="A265" s="18" t="str">
        <x:v>10</x:v>
      </x:c>
      <x:c r="B265" s="18" t="n">
        <x:v>4</x:v>
      </x:c>
      <x:c r="C265" s="18" t="n">
        <x:f>IF(D265&lt;&gt;"W",0,IF(E265&lt;&gt;"W",1,IF(F265&lt;&gt;"W",2,IF(G265&lt;&gt;"W",3,IF(H265&lt;&gt;"W",4,5)))))</x:f>
        <x:v>4</x:v>
      </x:c>
      <x:c r="D265" s="18" t="str">
        <x:v>W</x:v>
      </x:c>
      <x:c r="E265" s="18" t="str">
        <x:v>W</x:v>
      </x:c>
      <x:c r="F265" s="18" t="str">
        <x:v>W</x:v>
      </x:c>
      <x:c r="G265" s="18" t="str">
        <x:v>W</x:v>
      </x:c>
      <x:c r="H265" s="18" t="str">
        <x:v>X_W10</x:v>
      </x:c>
      <x:c r="I265" s="21" t="n">
        <x:f>PRODUCT(VLOOKUP(D265,$A$29:$F$42,2,FALSE),VLOOKUP(E265,$A$29:$F$42,3,FALSE),VLOOKUP(F265,$A$29:$F$42,4,FALSE),VLOOKUP(G265,$A$29:$F$42,5,FALSE),VLOOKUP(H265,$A$29:$F$42,6,FALSE))</x:f>
        <x:v>224</x:v>
      </x:c>
      <x:c r="J265" s="22" t="n">
        <x:f>I265/$N$5</x:f>
        <x:v>0.00007</x:v>
      </x:c>
      <x:c r="K265" s="18" t="n">
        <x:f>MAX(INDEX($I$6:$K$11,MATCH(A265,$H$6:$H$11,0),MATCH(B265&amp;"連線",$I$5:$K$5,0)),IF(C265&gt;=3,INDEX($I$6:$K$11,MATCH("W",$H$6:$H$11,0),MATCH(C265&amp;"連線",$I$5:$K$5,0)),0))</x:f>
        <x:v>300</x:v>
      </x:c>
      <x:c r="L265" s="22" t="n">
        <x:f>J265*K265</x:f>
        <x:v>0.020999999999999998</x:v>
      </x:c>
      <x:c r="M265" s="18" t="str">
        <x:f>IF(K265&gt;INDEX($I$6:$K$11,MATCH(A265,$H$6:$H$11,0),MATCH(B265&amp;"連線",$I$5:$K$5,0)),"取 Wild 連線較高賠率","取一般圖案連線賠率")</x:f>
        <x:v>取 Wild 連線較高賠率</x:v>
      </x:c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</x:row>
    <x:row r="266">
      <x:c r="A266" s="18" t="str">
        <x:v>10</x:v>
      </x:c>
      <x:c r="B266" s="18" t="n">
        <x:v>3</x:v>
      </x:c>
      <x:c r="C266" s="18" t="n">
        <x:f>IF(D266&lt;&gt;"W",0,IF(E266&lt;&gt;"W",1,IF(F266&lt;&gt;"W",2,IF(G266&lt;&gt;"W",3,IF(H266&lt;&gt;"W",4,5)))))</x:f>
        <x:v>1</x:v>
      </x:c>
      <x:c r="D266" s="18" t="str">
        <x:v>W</x:v>
      </x:c>
      <x:c r="E266" s="18" t="str">
        <x:v>10</x:v>
      </x:c>
      <x:c r="F266" s="18" t="str">
        <x:v>10</x:v>
      </x:c>
      <x:c r="G266" s="18" t="str">
        <x:v>X_W10</x:v>
      </x:c>
      <x:c r="H266" s="18" t="str">
        <x:v>any</x:v>
      </x:c>
      <x:c r="I266" s="21" t="n">
        <x:f>PRODUCT(VLOOKUP(D266,$A$29:$F$42,2,FALSE),VLOOKUP(E266,$A$29:$F$42,3,FALSE),VLOOKUP(F266,$A$29:$F$42,4,FALSE),VLOOKUP(G266,$A$29:$F$42,5,FALSE),VLOOKUP(H266,$A$29:$F$42,6,FALSE))</x:f>
        <x:v>6720</x:v>
      </x:c>
      <x:c r="J266" s="22" t="n">
        <x:f>I266/$N$5</x:f>
        <x:v>0.0021</x:v>
      </x:c>
      <x:c r="K266" s="18" t="n">
        <x:f>MAX(INDEX($I$6:$K$11,MATCH(A266,$H$6:$H$11,0),MATCH(B266&amp;"連線",$I$5:$K$5,0)),IF(C266&gt;=3,INDEX($I$6:$K$11,MATCH("W",$H$6:$H$11,0),MATCH(C266&amp;"連線",$I$5:$K$5,0)),0))</x:f>
        <x:v>5</x:v>
      </x:c>
      <x:c r="L266" s="22" t="n">
        <x:f>J266*K266</x:f>
        <x:v>0.010499999999999999</x:v>
      </x:c>
      <x:c r="M266" s="18" t="str">
        <x:f>IF(K266&gt;INDEX($I$6:$K$11,MATCH(A266,$H$6:$H$11,0),MATCH(B266&amp;"連線",$I$5:$K$5,0)),"取 Wild 連線較高賠率","取一般圖案連線賠率")</x:f>
        <x:v>取一般圖案連線賠率</x:v>
      </x:c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</x:row>
    <x:row r="267">
      <x:c r="A267" s="18" t="str">
        <x:v>10</x:v>
      </x:c>
      <x:c r="B267" s="18" t="n">
        <x:v>3</x:v>
      </x:c>
      <x:c r="C267" s="18" t="n">
        <x:f>IF(D267&lt;&gt;"W",0,IF(E267&lt;&gt;"W",1,IF(F267&lt;&gt;"W",2,IF(G267&lt;&gt;"W",3,IF(H267&lt;&gt;"W",4,5)))))</x:f>
        <x:v>0</x:v>
      </x:c>
      <x:c r="D267" s="18" t="str">
        <x:v>10</x:v>
      </x:c>
      <x:c r="E267" s="18" t="str">
        <x:v>W</x:v>
      </x:c>
      <x:c r="F267" s="18" t="str">
        <x:v>10</x:v>
      </x:c>
      <x:c r="G267" s="18" t="str">
        <x:v>X_W10</x:v>
      </x:c>
      <x:c r="H267" s="18" t="str">
        <x:v>any</x:v>
      </x:c>
      <x:c r="I267" s="21" t="n">
        <x:f>PRODUCT(VLOOKUP(D267,$A$29:$F$42,2,FALSE),VLOOKUP(E267,$A$29:$F$42,3,FALSE),VLOOKUP(F267,$A$29:$F$42,4,FALSE),VLOOKUP(G267,$A$29:$F$42,5,FALSE),VLOOKUP(H267,$A$29:$F$42,6,FALSE))</x:f>
        <x:v>11200</x:v>
      </x:c>
      <x:c r="J267" s="22" t="n">
        <x:f>I267/$N$5</x:f>
        <x:v>0.0035</x:v>
      </x:c>
      <x:c r="K267" s="18" t="n">
        <x:f>MAX(INDEX($I$6:$K$11,MATCH(A267,$H$6:$H$11,0),MATCH(B267&amp;"連線",$I$5:$K$5,0)),IF(C267&gt;=3,INDEX($I$6:$K$11,MATCH("W",$H$6:$H$11,0),MATCH(C267&amp;"連線",$I$5:$K$5,0)),0))</x:f>
        <x:v>5</x:v>
      </x:c>
      <x:c r="L267" s="22" t="n">
        <x:f>J267*K267</x:f>
        <x:v>0.0175</x:v>
      </x:c>
      <x:c r="M267" s="18" t="str">
        <x:f>IF(K267&gt;INDEX($I$6:$K$11,MATCH(A267,$H$6:$H$11,0),MATCH(B267&amp;"連線",$I$5:$K$5,0)),"取 Wild 連線較高賠率","取一般圖案連線賠率")</x:f>
        <x:v>取一般圖案連線賠率</x:v>
      </x:c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</x:row>
    <x:row r="268">
      <x:c r="A268" s="18" t="str">
        <x:v>10</x:v>
      </x:c>
      <x:c r="B268" s="18" t="n">
        <x:v>3</x:v>
      </x:c>
      <x:c r="C268" s="18" t="n">
        <x:f>IF(D268&lt;&gt;"W",0,IF(E268&lt;&gt;"W",1,IF(F268&lt;&gt;"W",2,IF(G268&lt;&gt;"W",3,IF(H268&lt;&gt;"W",4,5)))))</x:f>
        <x:v>0</x:v>
      </x:c>
      <x:c r="D268" s="18" t="str">
        <x:v>10</x:v>
      </x:c>
      <x:c r="E268" s="18" t="str">
        <x:v>10</x:v>
      </x:c>
      <x:c r="F268" s="18" t="str">
        <x:v>W</x:v>
      </x:c>
      <x:c r="G268" s="18" t="str">
        <x:v>X_W10</x:v>
      </x:c>
      <x:c r="H268" s="18" t="str">
        <x:v>any</x:v>
      </x:c>
      <x:c r="I268" s="21" t="n">
        <x:f>PRODUCT(VLOOKUP(D268,$A$29:$F$42,2,FALSE),VLOOKUP(E268,$A$29:$F$42,3,FALSE),VLOOKUP(F268,$A$29:$F$42,4,FALSE),VLOOKUP(G268,$A$29:$F$42,5,FALSE),VLOOKUP(H268,$A$29:$F$42,6,FALSE))</x:f>
        <x:v>8400</x:v>
      </x:c>
      <x:c r="J268" s="22" t="n">
        <x:f>I268/$N$5</x:f>
        <x:v>0.002625</x:v>
      </x:c>
      <x:c r="K268" s="18" t="n">
        <x:f>MAX(INDEX($I$6:$K$11,MATCH(A268,$H$6:$H$11,0),MATCH(B268&amp;"連線",$I$5:$K$5,0)),IF(C268&gt;=3,INDEX($I$6:$K$11,MATCH("W",$H$6:$H$11,0),MATCH(C268&amp;"連線",$I$5:$K$5,0)),0))</x:f>
        <x:v>5</x:v>
      </x:c>
      <x:c r="L268" s="22" t="n">
        <x:f>J268*K268</x:f>
        <x:v>0.013125000000000001</x:v>
      </x:c>
      <x:c r="M268" s="18" t="str">
        <x:f>IF(K268&gt;INDEX($I$6:$K$11,MATCH(A268,$H$6:$H$11,0),MATCH(B268&amp;"連線",$I$5:$K$5,0)),"取 Wild 連線較高賠率","取一般圖案連線賠率")</x:f>
        <x:v>取一般圖案連線賠率</x:v>
      </x:c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</x:row>
    <x:row r="269">
      <x:c r="A269" s="18" t="str">
        <x:v>10</x:v>
      </x:c>
      <x:c r="B269" s="18" t="n">
        <x:v>3</x:v>
      </x:c>
      <x:c r="C269" s="18" t="n">
        <x:f>IF(D269&lt;&gt;"W",0,IF(E269&lt;&gt;"W",1,IF(F269&lt;&gt;"W",2,IF(G269&lt;&gt;"W",3,IF(H269&lt;&gt;"W",4,5)))))</x:f>
        <x:v>2</x:v>
      </x:c>
      <x:c r="D269" s="18" t="str">
        <x:v>W</x:v>
      </x:c>
      <x:c r="E269" s="18" t="str">
        <x:v>W</x:v>
      </x:c>
      <x:c r="F269" s="18" t="str">
        <x:v>10</x:v>
      </x:c>
      <x:c r="G269" s="18" t="str">
        <x:v>X_W10</x:v>
      </x:c>
      <x:c r="H269" s="18" t="str">
        <x:v>any</x:v>
      </x:c>
      <x:c r="I269" s="21" t="n">
        <x:f>PRODUCT(VLOOKUP(D269,$A$29:$F$42,2,FALSE),VLOOKUP(E269,$A$29:$F$42,3,FALSE),VLOOKUP(F269,$A$29:$F$42,4,FALSE),VLOOKUP(G269,$A$29:$F$42,5,FALSE),VLOOKUP(H269,$A$29:$F$42,6,FALSE))</x:f>
        <x:v>4480</x:v>
      </x:c>
      <x:c r="J269" s="22" t="n">
        <x:f>I269/$N$5</x:f>
        <x:v>0.0014</x:v>
      </x:c>
      <x:c r="K269" s="18" t="n">
        <x:f>MAX(INDEX($I$6:$K$11,MATCH(A269,$H$6:$H$11,0),MATCH(B269&amp;"連線",$I$5:$K$5,0)),IF(C269&gt;=3,INDEX($I$6:$K$11,MATCH("W",$H$6:$H$11,0),MATCH(C269&amp;"連線",$I$5:$K$5,0)),0))</x:f>
        <x:v>5</x:v>
      </x:c>
      <x:c r="L269" s="22" t="n">
        <x:f>J269*K269</x:f>
        <x:v>0.007</x:v>
      </x:c>
      <x:c r="M269" s="18" t="str">
        <x:f>IF(K269&gt;INDEX($I$6:$K$11,MATCH(A269,$H$6:$H$11,0),MATCH(B269&amp;"連線",$I$5:$K$5,0)),"取 Wild 連線較高賠率","取一般圖案連線賠率")</x:f>
        <x:v>取一般圖案連線賠率</x:v>
      </x:c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</x:row>
    <x:row r="270">
      <x:c r="A270" s="18" t="str">
        <x:v>10</x:v>
      </x:c>
      <x:c r="B270" s="18" t="n">
        <x:v>3</x:v>
      </x:c>
      <x:c r="C270" s="18" t="n">
        <x:f>IF(D270&lt;&gt;"W",0,IF(E270&lt;&gt;"W",1,IF(F270&lt;&gt;"W",2,IF(G270&lt;&gt;"W",3,IF(H270&lt;&gt;"W",4,5)))))</x:f>
        <x:v>1</x:v>
      </x:c>
      <x:c r="D270" s="18" t="str">
        <x:v>W</x:v>
      </x:c>
      <x:c r="E270" s="18" t="str">
        <x:v>10</x:v>
      </x:c>
      <x:c r="F270" s="18" t="str">
        <x:v>W</x:v>
      </x:c>
      <x:c r="G270" s="18" t="str">
        <x:v>X_W10</x:v>
      </x:c>
      <x:c r="H270" s="18" t="str">
        <x:v>any</x:v>
      </x:c>
      <x:c r="I270" s="21" t="n">
        <x:f>PRODUCT(VLOOKUP(D270,$A$29:$F$42,2,FALSE),VLOOKUP(E270,$A$29:$F$42,3,FALSE),VLOOKUP(F270,$A$29:$F$42,4,FALSE),VLOOKUP(G270,$A$29:$F$42,5,FALSE),VLOOKUP(H270,$A$29:$F$42,6,FALSE))</x:f>
        <x:v>3360</x:v>
      </x:c>
      <x:c r="J270" s="22" t="n">
        <x:f>I270/$N$5</x:f>
        <x:v>0.00105</x:v>
      </x:c>
      <x:c r="K270" s="18" t="n">
        <x:f>MAX(INDEX($I$6:$K$11,MATCH(A270,$H$6:$H$11,0),MATCH(B270&amp;"連線",$I$5:$K$5,0)),IF(C270&gt;=3,INDEX($I$6:$K$11,MATCH("W",$H$6:$H$11,0),MATCH(C270&amp;"連線",$I$5:$K$5,0)),0))</x:f>
        <x:v>5</x:v>
      </x:c>
      <x:c r="L270" s="22" t="n">
        <x:f>J270*K270</x:f>
        <x:v>0.0052499999999999995</x:v>
      </x:c>
      <x:c r="M270" s="18" t="str">
        <x:f>IF(K270&gt;INDEX($I$6:$K$11,MATCH(A270,$H$6:$H$11,0),MATCH(B270&amp;"連線",$I$5:$K$5,0)),"取 Wild 連線較高賠率","取一般圖案連線賠率")</x:f>
        <x:v>取一般圖案連線賠率</x:v>
      </x:c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</x:row>
    <x:row r="271">
      <x:c r="A271" s="18" t="str">
        <x:v>10</x:v>
      </x:c>
      <x:c r="B271" s="18" t="n">
        <x:v>3</x:v>
      </x:c>
      <x:c r="C271" s="18" t="n">
        <x:f>IF(D271&lt;&gt;"W",0,IF(E271&lt;&gt;"W",1,IF(F271&lt;&gt;"W",2,IF(G271&lt;&gt;"W",3,IF(H271&lt;&gt;"W",4,5)))))</x:f>
        <x:v>0</x:v>
      </x:c>
      <x:c r="D271" s="18" t="str">
        <x:v>10</x:v>
      </x:c>
      <x:c r="E271" s="18" t="str">
        <x:v>W</x:v>
      </x:c>
      <x:c r="F271" s="18" t="str">
        <x:v>W</x:v>
      </x:c>
      <x:c r="G271" s="18" t="str">
        <x:v>X_W10</x:v>
      </x:c>
      <x:c r="H271" s="18" t="str">
        <x:v>any</x:v>
      </x:c>
      <x:c r="I271" s="21" t="n">
        <x:f>PRODUCT(VLOOKUP(D271,$A$29:$F$42,2,FALSE),VLOOKUP(E271,$A$29:$F$42,3,FALSE),VLOOKUP(F271,$A$29:$F$42,4,FALSE),VLOOKUP(G271,$A$29:$F$42,5,FALSE),VLOOKUP(H271,$A$29:$F$42,6,FALSE))</x:f>
        <x:v>5600</x:v>
      </x:c>
      <x:c r="J271" s="22" t="n">
        <x:f>I271/$N$5</x:f>
        <x:v>0.00175</x:v>
      </x:c>
      <x:c r="K271" s="18" t="n">
        <x:f>MAX(INDEX($I$6:$K$11,MATCH(A271,$H$6:$H$11,0),MATCH(B271&amp;"連線",$I$5:$K$5,0)),IF(C271&gt;=3,INDEX($I$6:$K$11,MATCH("W",$H$6:$H$11,0),MATCH(C271&amp;"連線",$I$5:$K$5,0)),0))</x:f>
        <x:v>5</x:v>
      </x:c>
      <x:c r="L271" s="22" t="n">
        <x:f>J271*K271</x:f>
        <x:v>0.00875</x:v>
      </x:c>
      <x:c r="M271" s="18" t="str">
        <x:f>IF(K271&gt;INDEX($I$6:$K$11,MATCH(A271,$H$6:$H$11,0),MATCH(B271&amp;"連線",$I$5:$K$5,0)),"取 Wild 連線較高賠率","取一般圖案連線賠率")</x:f>
        <x:v>取一般圖案連線賠率</x:v>
      </x:c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</x:row>
    <x:row r="272">
      <x:c r="A272" s="18" t="str">
        <x:v>10</x:v>
      </x:c>
      <x:c r="B272" s="18" t="n">
        <x:v>3</x:v>
      </x:c>
      <x:c r="C272" s="18" t="n">
        <x:f>IF(D272&lt;&gt;"W",0,IF(E272&lt;&gt;"W",1,IF(F272&lt;&gt;"W",2,IF(G272&lt;&gt;"W",3,IF(H272&lt;&gt;"W",4,5)))))</x:f>
        <x:v>3</x:v>
      </x:c>
      <x:c r="D272" s="18" t="str">
        <x:v>W</x:v>
      </x:c>
      <x:c r="E272" s="18" t="str">
        <x:v>W</x:v>
      </x:c>
      <x:c r="F272" s="18" t="str">
        <x:v>W</x:v>
      </x:c>
      <x:c r="G272" s="18" t="str">
        <x:v>X_W10</x:v>
      </x:c>
      <x:c r="H272" s="18" t="str">
        <x:v>any</x:v>
      </x:c>
      <x:c r="I272" s="21" t="n">
        <x:f>PRODUCT(VLOOKUP(D272,$A$29:$F$42,2,FALSE),VLOOKUP(E272,$A$29:$F$42,3,FALSE),VLOOKUP(F272,$A$29:$F$42,4,FALSE),VLOOKUP(G272,$A$29:$F$42,5,FALSE),VLOOKUP(H272,$A$29:$F$42,6,FALSE))</x:f>
        <x:v>2240</x:v>
      </x:c>
      <x:c r="J272" s="22" t="n">
        <x:f>I272/$N$5</x:f>
        <x:v>0.0007</x:v>
      </x:c>
      <x:c r="K272" s="18" t="n">
        <x:f>MAX(INDEX($I$6:$K$11,MATCH(A272,$H$6:$H$11,0),MATCH(B272&amp;"連線",$I$5:$K$5,0)),IF(C272&gt;=3,INDEX($I$6:$K$11,MATCH("W",$H$6:$H$11,0),MATCH(C272&amp;"連線",$I$5:$K$5,0)),0))</x:f>
        <x:v>150</x:v>
      </x:c>
      <x:c r="L272" s="22" t="n">
        <x:f>J272*K272</x:f>
        <x:v>0.105</x:v>
      </x:c>
      <x:c r="M272" s="18" t="str">
        <x:f>IF(K272&gt;INDEX($I$6:$K$11,MATCH(A272,$H$6:$H$11,0),MATCH(B272&amp;"連線",$I$5:$K$5,0)),"取 Wild 連線較高賠率","取一般圖案連線賠率")</x:f>
        <x:v>取 Wild 連線較高賠率</x:v>
      </x:c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</x:row>
    <x:row r="273">
      <x:c r="A273" s="18" t="str">
        <x:v>9</x:v>
      </x:c>
      <x:c r="B273" s="18" t="n">
        <x:v>5</x:v>
      </x:c>
      <x:c r="C273" s="18" t="n">
        <x:f>IF(D273&lt;&gt;"W",0,IF(E273&lt;&gt;"W",1,IF(F273&lt;&gt;"W",2,IF(G273&lt;&gt;"W",3,IF(H273&lt;&gt;"W",4,5)))))</x:f>
        <x:v>1</x:v>
      </x:c>
      <x:c r="D273" s="18" t="str">
        <x:v>W</x:v>
      </x:c>
      <x:c r="E273" s="18" t="str">
        <x:v>9</x:v>
      </x:c>
      <x:c r="F273" s="18" t="str">
        <x:v>9</x:v>
      </x:c>
      <x:c r="G273" s="18" t="str">
        <x:v>9</x:v>
      </x:c>
      <x:c r="H273" s="18" t="str">
        <x:v>9</x:v>
      </x:c>
      <x:c r="I273" s="21" t="n">
        <x:f>PRODUCT(VLOOKUP(D273,$A$29:$F$42,2,FALSE),VLOOKUP(E273,$A$29:$F$42,3,FALSE),VLOOKUP(F273,$A$29:$F$42,4,FALSE),VLOOKUP(G273,$A$29:$F$42,5,FALSE),VLOOKUP(H273,$A$29:$F$42,6,FALSE))</x:f>
        <x:v>512</x:v>
      </x:c>
      <x:c r="J273" s="22" t="n">
        <x:f>I273/$N$5</x:f>
        <x:v>0.00016</x:v>
      </x:c>
      <x:c r="K273" s="18" t="n">
        <x:f>MAX(INDEX($I$6:$K$11,MATCH(A273,$H$6:$H$11,0),MATCH(B273&amp;"連線",$I$5:$K$5,0)),IF(C273&gt;=3,INDEX($I$6:$K$11,MATCH("W",$H$6:$H$11,0),MATCH(C273&amp;"連線",$I$5:$K$5,0)),0))</x:f>
        <x:v>50</x:v>
      </x:c>
      <x:c r="L273" s="22" t="n">
        <x:f>J273*K273</x:f>
        <x:v>0.008</x:v>
      </x:c>
      <x:c r="M273" s="18" t="str">
        <x:f>IF(K273&gt;INDEX($I$6:$K$11,MATCH(A273,$H$6:$H$11,0),MATCH(B273&amp;"連線",$I$5:$K$5,0)),"取 Wild 連線較高賠率","取一般圖案連線賠率")</x:f>
        <x:v>取一般圖案連線賠率</x:v>
      </x:c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</x:row>
    <x:row r="274">
      <x:c r="A274" s="18" t="str">
        <x:v>9</x:v>
      </x:c>
      <x:c r="B274" s="18" t="n">
        <x:v>5</x:v>
      </x:c>
      <x:c r="C274" s="18" t="n">
        <x:f>IF(D274&lt;&gt;"W",0,IF(E274&lt;&gt;"W",1,IF(F274&lt;&gt;"W",2,IF(G274&lt;&gt;"W",3,IF(H274&lt;&gt;"W",4,5)))))</x:f>
        <x:v>0</x:v>
      </x:c>
      <x:c r="D274" s="18" t="str">
        <x:v>9</x:v>
      </x:c>
      <x:c r="E274" s="18" t="str">
        <x:v>W</x:v>
      </x:c>
      <x:c r="F274" s="18" t="str">
        <x:v>9</x:v>
      </x:c>
      <x:c r="G274" s="18" t="str">
        <x:v>9</x:v>
      </x:c>
      <x:c r="H274" s="18" t="str">
        <x:v>9</x:v>
      </x:c>
      <x:c r="I274" s="21" t="n">
        <x:f>PRODUCT(VLOOKUP(D274,$A$29:$F$42,2,FALSE),VLOOKUP(E274,$A$29:$F$42,3,FALSE),VLOOKUP(F274,$A$29:$F$42,4,FALSE),VLOOKUP(G274,$A$29:$F$42,5,FALSE),VLOOKUP(H274,$A$29:$F$42,6,FALSE))</x:f>
        <x:v>768</x:v>
      </x:c>
      <x:c r="J274" s="22" t="n">
        <x:f>I274/$N$5</x:f>
        <x:v>0.00024</x:v>
      </x:c>
      <x:c r="K274" s="18" t="n">
        <x:f>MAX(INDEX($I$6:$K$11,MATCH(A274,$H$6:$H$11,0),MATCH(B274&amp;"連線",$I$5:$K$5,0)),IF(C274&gt;=3,INDEX($I$6:$K$11,MATCH("W",$H$6:$H$11,0),MATCH(C274&amp;"連線",$I$5:$K$5,0)),0))</x:f>
        <x:v>50</x:v>
      </x:c>
      <x:c r="L274" s="22" t="n">
        <x:f>J274*K274</x:f>
        <x:v>0.012</x:v>
      </x:c>
      <x:c r="M274" s="18" t="str">
        <x:f>IF(K274&gt;INDEX($I$6:$K$11,MATCH(A274,$H$6:$H$11,0),MATCH(B274&amp;"連線",$I$5:$K$5,0)),"取 Wild 連線較高賠率","取一般圖案連線賠率")</x:f>
        <x:v>取一般圖案連線賠率</x:v>
      </x:c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</x:row>
    <x:row r="275">
      <x:c r="A275" s="18" t="str">
        <x:v>9</x:v>
      </x:c>
      <x:c r="B275" s="18" t="n">
        <x:v>5</x:v>
      </x:c>
      <x:c r="C275" s="18" t="n">
        <x:f>IF(D275&lt;&gt;"W",0,IF(E275&lt;&gt;"W",1,IF(F275&lt;&gt;"W",2,IF(G275&lt;&gt;"W",3,IF(H275&lt;&gt;"W",4,5)))))</x:f>
        <x:v>0</x:v>
      </x:c>
      <x:c r="D275" s="18" t="str">
        <x:v>9</x:v>
      </x:c>
      <x:c r="E275" s="18" t="str">
        <x:v>9</x:v>
      </x:c>
      <x:c r="F275" s="18" t="str">
        <x:v>W</x:v>
      </x:c>
      <x:c r="G275" s="18" t="str">
        <x:v>9</x:v>
      </x:c>
      <x:c r="H275" s="18" t="str">
        <x:v>9</x:v>
      </x:c>
      <x:c r="I275" s="21" t="n">
        <x:f>PRODUCT(VLOOKUP(D275,$A$29:$F$42,2,FALSE),VLOOKUP(E275,$A$29:$F$42,3,FALSE),VLOOKUP(F275,$A$29:$F$42,4,FALSE),VLOOKUP(G275,$A$29:$F$42,5,FALSE),VLOOKUP(H275,$A$29:$F$42,6,FALSE))</x:f>
        <x:v>768</x:v>
      </x:c>
      <x:c r="J275" s="22" t="n">
        <x:f>I275/$N$5</x:f>
        <x:v>0.00024</x:v>
      </x:c>
      <x:c r="K275" s="18" t="n">
        <x:f>MAX(INDEX($I$6:$K$11,MATCH(A275,$H$6:$H$11,0),MATCH(B275&amp;"連線",$I$5:$K$5,0)),IF(C275&gt;=3,INDEX($I$6:$K$11,MATCH("W",$H$6:$H$11,0),MATCH(C275&amp;"連線",$I$5:$K$5,0)),0))</x:f>
        <x:v>50</x:v>
      </x:c>
      <x:c r="L275" s="22" t="n">
        <x:f>J275*K275</x:f>
        <x:v>0.012</x:v>
      </x:c>
      <x:c r="M275" s="18" t="str">
        <x:f>IF(K275&gt;INDEX($I$6:$K$11,MATCH(A275,$H$6:$H$11,0),MATCH(B275&amp;"連線",$I$5:$K$5,0)),"取 Wild 連線較高賠率","取一般圖案連線賠率")</x:f>
        <x:v>取一般圖案連線賠率</x:v>
      </x:c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</x:row>
    <x:row r="276">
      <x:c r="A276" s="18" t="str">
        <x:v>9</x:v>
      </x:c>
      <x:c r="B276" s="18" t="n">
        <x:v>5</x:v>
      </x:c>
      <x:c r="C276" s="18" t="n">
        <x:f>IF(D276&lt;&gt;"W",0,IF(E276&lt;&gt;"W",1,IF(F276&lt;&gt;"W",2,IF(G276&lt;&gt;"W",3,IF(H276&lt;&gt;"W",4,5)))))</x:f>
        <x:v>0</x:v>
      </x:c>
      <x:c r="D276" s="18" t="str">
        <x:v>9</x:v>
      </x:c>
      <x:c r="E276" s="18" t="str">
        <x:v>9</x:v>
      </x:c>
      <x:c r="F276" s="18" t="str">
        <x:v>9</x:v>
      </x:c>
      <x:c r="G276" s="18" t="str">
        <x:v>W</x:v>
      </x:c>
      <x:c r="H276" s="18" t="str">
        <x:v>9</x:v>
      </x:c>
      <x:c r="I276" s="21" t="n">
        <x:f>PRODUCT(VLOOKUP(D276,$A$29:$F$42,2,FALSE),VLOOKUP(E276,$A$29:$F$42,3,FALSE),VLOOKUP(F276,$A$29:$F$42,4,FALSE),VLOOKUP(G276,$A$29:$F$42,5,FALSE),VLOOKUP(H276,$A$29:$F$42,6,FALSE))</x:f>
        <x:v>768</x:v>
      </x:c>
      <x:c r="J276" s="22" t="n">
        <x:f>I276/$N$5</x:f>
        <x:v>0.00024</x:v>
      </x:c>
      <x:c r="K276" s="18" t="n">
        <x:f>MAX(INDEX($I$6:$K$11,MATCH(A276,$H$6:$H$11,0),MATCH(B276&amp;"連線",$I$5:$K$5,0)),IF(C276&gt;=3,INDEX($I$6:$K$11,MATCH("W",$H$6:$H$11,0),MATCH(C276&amp;"連線",$I$5:$K$5,0)),0))</x:f>
        <x:v>50</x:v>
      </x:c>
      <x:c r="L276" s="22" t="n">
        <x:f>J276*K276</x:f>
        <x:v>0.012</x:v>
      </x:c>
      <x:c r="M276" s="18" t="str">
        <x:f>IF(K276&gt;INDEX($I$6:$K$11,MATCH(A276,$H$6:$H$11,0),MATCH(B276&amp;"連線",$I$5:$K$5,0)),"取 Wild 連線較高賠率","取一般圖案連線賠率")</x:f>
        <x:v>取一般圖案連線賠率</x:v>
      </x:c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>
      <x:c r="A277" s="18" t="str">
        <x:v>9</x:v>
      </x:c>
      <x:c r="B277" s="18" t="n">
        <x:v>5</x:v>
      </x:c>
      <x:c r="C277" s="18" t="n">
        <x:f>IF(D277&lt;&gt;"W",0,IF(E277&lt;&gt;"W",1,IF(F277&lt;&gt;"W",2,IF(G277&lt;&gt;"W",3,IF(H277&lt;&gt;"W",4,5)))))</x:f>
        <x:v>0</x:v>
      </x:c>
      <x:c r="D277" s="18" t="str">
        <x:v>9</x:v>
      </x:c>
      <x:c r="E277" s="18" t="str">
        <x:v>9</x:v>
      </x:c>
      <x:c r="F277" s="18" t="str">
        <x:v>9</x:v>
      </x:c>
      <x:c r="G277" s="18" t="str">
        <x:v>9</x:v>
      </x:c>
      <x:c r="H277" s="18" t="str">
        <x:v>W</x:v>
      </x:c>
      <x:c r="I277" s="21" t="n">
        <x:f>PRODUCT(VLOOKUP(D277,$A$29:$F$42,2,FALSE),VLOOKUP(E277,$A$29:$F$42,3,FALSE),VLOOKUP(F277,$A$29:$F$42,4,FALSE),VLOOKUP(G277,$A$29:$F$42,5,FALSE),VLOOKUP(H277,$A$29:$F$42,6,FALSE))</x:f>
        <x:v>768</x:v>
      </x:c>
      <x:c r="J277" s="22" t="n">
        <x:f>I277/$N$5</x:f>
        <x:v>0.00024</x:v>
      </x:c>
      <x:c r="K277" s="18" t="n">
        <x:f>MAX(INDEX($I$6:$K$11,MATCH(A277,$H$6:$H$11,0),MATCH(B277&amp;"連線",$I$5:$K$5,0)),IF(C277&gt;=3,INDEX($I$6:$K$11,MATCH("W",$H$6:$H$11,0),MATCH(C277&amp;"連線",$I$5:$K$5,0)),0))</x:f>
        <x:v>50</x:v>
      </x:c>
      <x:c r="L277" s="22" t="n">
        <x:f>J277*K277</x:f>
        <x:v>0.012</x:v>
      </x:c>
      <x:c r="M277" s="18" t="str">
        <x:f>IF(K277&gt;INDEX($I$6:$K$11,MATCH(A277,$H$6:$H$11,0),MATCH(B277&amp;"連線",$I$5:$K$5,0)),"取 Wild 連線較高賠率","取一般圖案連線賠率")</x:f>
        <x:v>取一般圖案連線賠率</x:v>
      </x:c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</x:row>
    <x:row r="278">
      <x:c r="A278" s="18" t="str">
        <x:v>9</x:v>
      </x:c>
      <x:c r="B278" s="18" t="n">
        <x:v>5</x:v>
      </x:c>
      <x:c r="C278" s="18" t="n">
        <x:f>IF(D278&lt;&gt;"W",0,IF(E278&lt;&gt;"W",1,IF(F278&lt;&gt;"W",2,IF(G278&lt;&gt;"W",3,IF(H278&lt;&gt;"W",4,5)))))</x:f>
        <x:v>2</x:v>
      </x:c>
      <x:c r="D278" s="18" t="str">
        <x:v>W</x:v>
      </x:c>
      <x:c r="E278" s="18" t="str">
        <x:v>W</x:v>
      </x:c>
      <x:c r="F278" s="18" t="str">
        <x:v>9</x:v>
      </x:c>
      <x:c r="G278" s="18" t="str">
        <x:v>9</x:v>
      </x:c>
      <x:c r="H278" s="18" t="str">
        <x:v>9</x:v>
      </x:c>
      <x:c r="I278" s="21" t="n">
        <x:f>PRODUCT(VLOOKUP(D278,$A$29:$F$42,2,FALSE),VLOOKUP(E278,$A$29:$F$42,3,FALSE),VLOOKUP(F278,$A$29:$F$42,4,FALSE),VLOOKUP(G278,$A$29:$F$42,5,FALSE),VLOOKUP(H278,$A$29:$F$42,6,FALSE))</x:f>
        <x:v>256</x:v>
      </x:c>
      <x:c r="J278" s="22" t="n">
        <x:f>I278/$N$5</x:f>
        <x:v>0.00008</x:v>
      </x:c>
      <x:c r="K278" s="18" t="n">
        <x:f>MAX(INDEX($I$6:$K$11,MATCH(A278,$H$6:$H$11,0),MATCH(B278&amp;"連線",$I$5:$K$5,0)),IF(C278&gt;=3,INDEX($I$6:$K$11,MATCH("W",$H$6:$H$11,0),MATCH(C278&amp;"連線",$I$5:$K$5,0)),0))</x:f>
        <x:v>50</x:v>
      </x:c>
      <x:c r="L278" s="22" t="n">
        <x:f>J278*K278</x:f>
        <x:v>0.004</x:v>
      </x:c>
      <x:c r="M278" s="18" t="str">
        <x:f>IF(K278&gt;INDEX($I$6:$K$11,MATCH(A278,$H$6:$H$11,0),MATCH(B278&amp;"連線",$I$5:$K$5,0)),"取 Wild 連線較高賠率","取一般圖案連線賠率")</x:f>
        <x:v>取一般圖案連線賠率</x:v>
      </x:c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</x:row>
    <x:row r="279">
      <x:c r="A279" s="18" t="str">
        <x:v>9</x:v>
      </x:c>
      <x:c r="B279" s="18" t="n">
        <x:v>5</x:v>
      </x:c>
      <x:c r="C279" s="18" t="n">
        <x:f>IF(D279&lt;&gt;"W",0,IF(E279&lt;&gt;"W",1,IF(F279&lt;&gt;"W",2,IF(G279&lt;&gt;"W",3,IF(H279&lt;&gt;"W",4,5)))))</x:f>
        <x:v>1</x:v>
      </x:c>
      <x:c r="D279" s="18" t="str">
        <x:v>W</x:v>
      </x:c>
      <x:c r="E279" s="18" t="str">
        <x:v>9</x:v>
      </x:c>
      <x:c r="F279" s="18" t="str">
        <x:v>W</x:v>
      </x:c>
      <x:c r="G279" s="18" t="str">
        <x:v>9</x:v>
      </x:c>
      <x:c r="H279" s="18" t="str">
        <x:v>9</x:v>
      </x:c>
      <x:c r="I279" s="21" t="n">
        <x:f>PRODUCT(VLOOKUP(D279,$A$29:$F$42,2,FALSE),VLOOKUP(E279,$A$29:$F$42,3,FALSE),VLOOKUP(F279,$A$29:$F$42,4,FALSE),VLOOKUP(G279,$A$29:$F$42,5,FALSE),VLOOKUP(H279,$A$29:$F$42,6,FALSE))</x:f>
        <x:v>256</x:v>
      </x:c>
      <x:c r="J279" s="22" t="n">
        <x:f>I279/$N$5</x:f>
        <x:v>0.00008</x:v>
      </x:c>
      <x:c r="K279" s="18" t="n">
        <x:f>MAX(INDEX($I$6:$K$11,MATCH(A279,$H$6:$H$11,0),MATCH(B279&amp;"連線",$I$5:$K$5,0)),IF(C279&gt;=3,INDEX($I$6:$K$11,MATCH("W",$H$6:$H$11,0),MATCH(C279&amp;"連線",$I$5:$K$5,0)),0))</x:f>
        <x:v>50</x:v>
      </x:c>
      <x:c r="L279" s="22" t="n">
        <x:f>J279*K279</x:f>
        <x:v>0.004</x:v>
      </x:c>
      <x:c r="M279" s="18" t="str">
        <x:f>IF(K279&gt;INDEX($I$6:$K$11,MATCH(A279,$H$6:$H$11,0),MATCH(B279&amp;"連線",$I$5:$K$5,0)),"取 Wild 連線較高賠率","取一般圖案連線賠率")</x:f>
        <x:v>取一般圖案連線賠率</x:v>
      </x:c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</x:row>
    <x:row r="280">
      <x:c r="A280" s="18" t="str">
        <x:v>9</x:v>
      </x:c>
      <x:c r="B280" s="18" t="n">
        <x:v>5</x:v>
      </x:c>
      <x:c r="C280" s="18" t="n">
        <x:f>IF(D280&lt;&gt;"W",0,IF(E280&lt;&gt;"W",1,IF(F280&lt;&gt;"W",2,IF(G280&lt;&gt;"W",3,IF(H280&lt;&gt;"W",4,5)))))</x:f>
        <x:v>1</x:v>
      </x:c>
      <x:c r="D280" s="18" t="str">
        <x:v>W</x:v>
      </x:c>
      <x:c r="E280" s="18" t="str">
        <x:v>9</x:v>
      </x:c>
      <x:c r="F280" s="18" t="str">
        <x:v>9</x:v>
      </x:c>
      <x:c r="G280" s="18" t="str">
        <x:v>W</x:v>
      </x:c>
      <x:c r="H280" s="18" t="str">
        <x:v>9</x:v>
      </x:c>
      <x:c r="I280" s="21" t="n">
        <x:f>PRODUCT(VLOOKUP(D280,$A$29:$F$42,2,FALSE),VLOOKUP(E280,$A$29:$F$42,3,FALSE),VLOOKUP(F280,$A$29:$F$42,4,FALSE),VLOOKUP(G280,$A$29:$F$42,5,FALSE),VLOOKUP(H280,$A$29:$F$42,6,FALSE))</x:f>
        <x:v>256</x:v>
      </x:c>
      <x:c r="J280" s="22" t="n">
        <x:f>I280/$N$5</x:f>
        <x:v>0.00008</x:v>
      </x:c>
      <x:c r="K280" s="18" t="n">
        <x:f>MAX(INDEX($I$6:$K$11,MATCH(A280,$H$6:$H$11,0),MATCH(B280&amp;"連線",$I$5:$K$5,0)),IF(C280&gt;=3,INDEX($I$6:$K$11,MATCH("W",$H$6:$H$11,0),MATCH(C280&amp;"連線",$I$5:$K$5,0)),0))</x:f>
        <x:v>50</x:v>
      </x:c>
      <x:c r="L280" s="22" t="n">
        <x:f>J280*K280</x:f>
        <x:v>0.004</x:v>
      </x:c>
      <x:c r="M280" s="18" t="str">
        <x:f>IF(K280&gt;INDEX($I$6:$K$11,MATCH(A280,$H$6:$H$11,0),MATCH(B280&amp;"連線",$I$5:$K$5,0)),"取 Wild 連線較高賠率","取一般圖案連線賠率")</x:f>
        <x:v>取一般圖案連線賠率</x:v>
      </x:c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</x:row>
    <x:row r="281">
      <x:c r="A281" s="18" t="str">
        <x:v>9</x:v>
      </x:c>
      <x:c r="B281" s="18" t="n">
        <x:v>5</x:v>
      </x:c>
      <x:c r="C281" s="18" t="n">
        <x:f>IF(D281&lt;&gt;"W",0,IF(E281&lt;&gt;"W",1,IF(F281&lt;&gt;"W",2,IF(G281&lt;&gt;"W",3,IF(H281&lt;&gt;"W",4,5)))))</x:f>
        <x:v>1</x:v>
      </x:c>
      <x:c r="D281" s="18" t="str">
        <x:v>W</x:v>
      </x:c>
      <x:c r="E281" s="18" t="str">
        <x:v>9</x:v>
      </x:c>
      <x:c r="F281" s="18" t="str">
        <x:v>9</x:v>
      </x:c>
      <x:c r="G281" s="18" t="str">
        <x:v>9</x:v>
      </x:c>
      <x:c r="H281" s="18" t="str">
        <x:v>W</x:v>
      </x:c>
      <x:c r="I281" s="21" t="n">
        <x:f>PRODUCT(VLOOKUP(D281,$A$29:$F$42,2,FALSE),VLOOKUP(E281,$A$29:$F$42,3,FALSE),VLOOKUP(F281,$A$29:$F$42,4,FALSE),VLOOKUP(G281,$A$29:$F$42,5,FALSE),VLOOKUP(H281,$A$29:$F$42,6,FALSE))</x:f>
        <x:v>256</x:v>
      </x:c>
      <x:c r="J281" s="22" t="n">
        <x:f>I281/$N$5</x:f>
        <x:v>0.00008</x:v>
      </x:c>
      <x:c r="K281" s="18" t="n">
        <x:f>MAX(INDEX($I$6:$K$11,MATCH(A281,$H$6:$H$11,0),MATCH(B281&amp;"連線",$I$5:$K$5,0)),IF(C281&gt;=3,INDEX($I$6:$K$11,MATCH("W",$H$6:$H$11,0),MATCH(C281&amp;"連線",$I$5:$K$5,0)),0))</x:f>
        <x:v>50</x:v>
      </x:c>
      <x:c r="L281" s="22" t="n">
        <x:f>J281*K281</x:f>
        <x:v>0.004</x:v>
      </x:c>
      <x:c r="M281" s="18" t="str">
        <x:f>IF(K281&gt;INDEX($I$6:$K$11,MATCH(A281,$H$6:$H$11,0),MATCH(B281&amp;"連線",$I$5:$K$5,0)),"取 Wild 連線較高賠率","取一般圖案連線賠率")</x:f>
        <x:v>取一般圖案連線賠率</x:v>
      </x:c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</x:row>
    <x:row r="282">
      <x:c r="A282" s="18" t="str">
        <x:v>9</x:v>
      </x:c>
      <x:c r="B282" s="18" t="n">
        <x:v>5</x:v>
      </x:c>
      <x:c r="C282" s="18" t="n">
        <x:f>IF(D282&lt;&gt;"W",0,IF(E282&lt;&gt;"W",1,IF(F282&lt;&gt;"W",2,IF(G282&lt;&gt;"W",3,IF(H282&lt;&gt;"W",4,5)))))</x:f>
        <x:v>0</x:v>
      </x:c>
      <x:c r="D282" s="18" t="str">
        <x:v>9</x:v>
      </x:c>
      <x:c r="E282" s="18" t="str">
        <x:v>W</x:v>
      </x:c>
      <x:c r="F282" s="18" t="str">
        <x:v>W</x:v>
      </x:c>
      <x:c r="G282" s="18" t="str">
        <x:v>9</x:v>
      </x:c>
      <x:c r="H282" s="18" t="str">
        <x:v>9</x:v>
      </x:c>
      <x:c r="I282" s="21" t="n">
        <x:f>PRODUCT(VLOOKUP(D282,$A$29:$F$42,2,FALSE),VLOOKUP(E282,$A$29:$F$42,3,FALSE),VLOOKUP(F282,$A$29:$F$42,4,FALSE),VLOOKUP(G282,$A$29:$F$42,5,FALSE),VLOOKUP(H282,$A$29:$F$42,6,FALSE))</x:f>
        <x:v>384</x:v>
      </x:c>
      <x:c r="J282" s="22" t="n">
        <x:f>I282/$N$5</x:f>
        <x:v>0.00012</x:v>
      </x:c>
      <x:c r="K282" s="18" t="n">
        <x:f>MAX(INDEX($I$6:$K$11,MATCH(A282,$H$6:$H$11,0),MATCH(B282&amp;"連線",$I$5:$K$5,0)),IF(C282&gt;=3,INDEX($I$6:$K$11,MATCH("W",$H$6:$H$11,0),MATCH(C282&amp;"連線",$I$5:$K$5,0)),0))</x:f>
        <x:v>50</x:v>
      </x:c>
      <x:c r="L282" s="22" t="n">
        <x:f>J282*K282</x:f>
        <x:v>0.006</x:v>
      </x:c>
      <x:c r="M282" s="18" t="str">
        <x:f>IF(K282&gt;INDEX($I$6:$K$11,MATCH(A282,$H$6:$H$11,0),MATCH(B282&amp;"連線",$I$5:$K$5,0)),"取 Wild 連線較高賠率","取一般圖案連線賠率")</x:f>
        <x:v>取一般圖案連線賠率</x:v>
      </x:c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</x:row>
    <x:row r="283">
      <x:c r="A283" s="18" t="str">
        <x:v>9</x:v>
      </x:c>
      <x:c r="B283" s="18" t="n">
        <x:v>5</x:v>
      </x:c>
      <x:c r="C283" s="18" t="n">
        <x:f>IF(D283&lt;&gt;"W",0,IF(E283&lt;&gt;"W",1,IF(F283&lt;&gt;"W",2,IF(G283&lt;&gt;"W",3,IF(H283&lt;&gt;"W",4,5)))))</x:f>
        <x:v>0</x:v>
      </x:c>
      <x:c r="D283" s="18" t="str">
        <x:v>9</x:v>
      </x:c>
      <x:c r="E283" s="18" t="str">
        <x:v>W</x:v>
      </x:c>
      <x:c r="F283" s="18" t="str">
        <x:v>9</x:v>
      </x:c>
      <x:c r="G283" s="18" t="str">
        <x:v>W</x:v>
      </x:c>
      <x:c r="H283" s="18" t="str">
        <x:v>9</x:v>
      </x:c>
      <x:c r="I283" s="21" t="n">
        <x:f>PRODUCT(VLOOKUP(D283,$A$29:$F$42,2,FALSE),VLOOKUP(E283,$A$29:$F$42,3,FALSE),VLOOKUP(F283,$A$29:$F$42,4,FALSE),VLOOKUP(G283,$A$29:$F$42,5,FALSE),VLOOKUP(H283,$A$29:$F$42,6,FALSE))</x:f>
        <x:v>384</x:v>
      </x:c>
      <x:c r="J283" s="22" t="n">
        <x:f>I283/$N$5</x:f>
        <x:v>0.00012</x:v>
      </x:c>
      <x:c r="K283" s="18" t="n">
        <x:f>MAX(INDEX($I$6:$K$11,MATCH(A283,$H$6:$H$11,0),MATCH(B283&amp;"連線",$I$5:$K$5,0)),IF(C283&gt;=3,INDEX($I$6:$K$11,MATCH("W",$H$6:$H$11,0),MATCH(C283&amp;"連線",$I$5:$K$5,0)),0))</x:f>
        <x:v>50</x:v>
      </x:c>
      <x:c r="L283" s="22" t="n">
        <x:f>J283*K283</x:f>
        <x:v>0.006</x:v>
      </x:c>
      <x:c r="M283" s="18" t="str">
        <x:f>IF(K283&gt;INDEX($I$6:$K$11,MATCH(A283,$H$6:$H$11,0),MATCH(B283&amp;"連線",$I$5:$K$5,0)),"取 Wild 連線較高賠率","取一般圖案連線賠率")</x:f>
        <x:v>取一般圖案連線賠率</x:v>
      </x:c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</x:row>
    <x:row r="284">
      <x:c r="A284" s="18" t="str">
        <x:v>9</x:v>
      </x:c>
      <x:c r="B284" s="18" t="n">
        <x:v>5</x:v>
      </x:c>
      <x:c r="C284" s="18" t="n">
        <x:f>IF(D284&lt;&gt;"W",0,IF(E284&lt;&gt;"W",1,IF(F284&lt;&gt;"W",2,IF(G284&lt;&gt;"W",3,IF(H284&lt;&gt;"W",4,5)))))</x:f>
        <x:v>0</x:v>
      </x:c>
      <x:c r="D284" s="18" t="str">
        <x:v>9</x:v>
      </x:c>
      <x:c r="E284" s="18" t="str">
        <x:v>W</x:v>
      </x:c>
      <x:c r="F284" s="18" t="str">
        <x:v>9</x:v>
      </x:c>
      <x:c r="G284" s="18" t="str">
        <x:v>9</x:v>
      </x:c>
      <x:c r="H284" s="18" t="str">
        <x:v>W</x:v>
      </x:c>
      <x:c r="I284" s="21" t="n">
        <x:f>PRODUCT(VLOOKUP(D284,$A$29:$F$42,2,FALSE),VLOOKUP(E284,$A$29:$F$42,3,FALSE),VLOOKUP(F284,$A$29:$F$42,4,FALSE),VLOOKUP(G284,$A$29:$F$42,5,FALSE),VLOOKUP(H284,$A$29:$F$42,6,FALSE))</x:f>
        <x:v>384</x:v>
      </x:c>
      <x:c r="J284" s="22" t="n">
        <x:f>I284/$N$5</x:f>
        <x:v>0.00012</x:v>
      </x:c>
      <x:c r="K284" s="18" t="n">
        <x:f>MAX(INDEX($I$6:$K$11,MATCH(A284,$H$6:$H$11,0),MATCH(B284&amp;"連線",$I$5:$K$5,0)),IF(C284&gt;=3,INDEX($I$6:$K$11,MATCH("W",$H$6:$H$11,0),MATCH(C284&amp;"連線",$I$5:$K$5,0)),0))</x:f>
        <x:v>50</x:v>
      </x:c>
      <x:c r="L284" s="22" t="n">
        <x:f>J284*K284</x:f>
        <x:v>0.006</x:v>
      </x:c>
      <x:c r="M284" s="18" t="str">
        <x:f>IF(K284&gt;INDEX($I$6:$K$11,MATCH(A284,$H$6:$H$11,0),MATCH(B284&amp;"連線",$I$5:$K$5,0)),"取 Wild 連線較高賠率","取一般圖案連線賠率")</x:f>
        <x:v>取一般圖案連線賠率</x:v>
      </x:c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</x:row>
    <x:row r="285">
      <x:c r="A285" s="18" t="str">
        <x:v>9</x:v>
      </x:c>
      <x:c r="B285" s="18" t="n">
        <x:v>5</x:v>
      </x:c>
      <x:c r="C285" s="18" t="n">
        <x:f>IF(D285&lt;&gt;"W",0,IF(E285&lt;&gt;"W",1,IF(F285&lt;&gt;"W",2,IF(G285&lt;&gt;"W",3,IF(H285&lt;&gt;"W",4,5)))))</x:f>
        <x:v>0</x:v>
      </x:c>
      <x:c r="D285" s="18" t="str">
        <x:v>9</x:v>
      </x:c>
      <x:c r="E285" s="18" t="str">
        <x:v>9</x:v>
      </x:c>
      <x:c r="F285" s="18" t="str">
        <x:v>W</x:v>
      </x:c>
      <x:c r="G285" s="18" t="str">
        <x:v>W</x:v>
      </x:c>
      <x:c r="H285" s="18" t="str">
        <x:v>9</x:v>
      </x:c>
      <x:c r="I285" s="21" t="n">
        <x:f>PRODUCT(VLOOKUP(D285,$A$29:$F$42,2,FALSE),VLOOKUP(E285,$A$29:$F$42,3,FALSE),VLOOKUP(F285,$A$29:$F$42,4,FALSE),VLOOKUP(G285,$A$29:$F$42,5,FALSE),VLOOKUP(H285,$A$29:$F$42,6,FALSE))</x:f>
        <x:v>384</x:v>
      </x:c>
      <x:c r="J285" s="22" t="n">
        <x:f>I285/$N$5</x:f>
        <x:v>0.00012</x:v>
      </x:c>
      <x:c r="K285" s="18" t="n">
        <x:f>MAX(INDEX($I$6:$K$11,MATCH(A285,$H$6:$H$11,0),MATCH(B285&amp;"連線",$I$5:$K$5,0)),IF(C285&gt;=3,INDEX($I$6:$K$11,MATCH("W",$H$6:$H$11,0),MATCH(C285&amp;"連線",$I$5:$K$5,0)),0))</x:f>
        <x:v>50</x:v>
      </x:c>
      <x:c r="L285" s="22" t="n">
        <x:f>J285*K285</x:f>
        <x:v>0.006</x:v>
      </x:c>
      <x:c r="M285" s="18" t="str">
        <x:f>IF(K285&gt;INDEX($I$6:$K$11,MATCH(A285,$H$6:$H$11,0),MATCH(B285&amp;"連線",$I$5:$K$5,0)),"取 Wild 連線較高賠率","取一般圖案連線賠率")</x:f>
        <x:v>取一般圖案連線賠率</x:v>
      </x:c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</x:row>
    <x:row r="286">
      <x:c r="A286" s="18" t="str">
        <x:v>9</x:v>
      </x:c>
      <x:c r="B286" s="18" t="n">
        <x:v>5</x:v>
      </x:c>
      <x:c r="C286" s="18" t="n">
        <x:f>IF(D286&lt;&gt;"W",0,IF(E286&lt;&gt;"W",1,IF(F286&lt;&gt;"W",2,IF(G286&lt;&gt;"W",3,IF(H286&lt;&gt;"W",4,5)))))</x:f>
        <x:v>0</x:v>
      </x:c>
      <x:c r="D286" s="18" t="str">
        <x:v>9</x:v>
      </x:c>
      <x:c r="E286" s="18" t="str">
        <x:v>9</x:v>
      </x:c>
      <x:c r="F286" s="18" t="str">
        <x:v>W</x:v>
      </x:c>
      <x:c r="G286" s="18" t="str">
        <x:v>9</x:v>
      </x:c>
      <x:c r="H286" s="18" t="str">
        <x:v>W</x:v>
      </x:c>
      <x:c r="I286" s="21" t="n">
        <x:f>PRODUCT(VLOOKUP(D286,$A$29:$F$42,2,FALSE),VLOOKUP(E286,$A$29:$F$42,3,FALSE),VLOOKUP(F286,$A$29:$F$42,4,FALSE),VLOOKUP(G286,$A$29:$F$42,5,FALSE),VLOOKUP(H286,$A$29:$F$42,6,FALSE))</x:f>
        <x:v>384</x:v>
      </x:c>
      <x:c r="J286" s="22" t="n">
        <x:f>I286/$N$5</x:f>
        <x:v>0.00012</x:v>
      </x:c>
      <x:c r="K286" s="18" t="n">
        <x:f>MAX(INDEX($I$6:$K$11,MATCH(A286,$H$6:$H$11,0),MATCH(B286&amp;"連線",$I$5:$K$5,0)),IF(C286&gt;=3,INDEX($I$6:$K$11,MATCH("W",$H$6:$H$11,0),MATCH(C286&amp;"連線",$I$5:$K$5,0)),0))</x:f>
        <x:v>50</x:v>
      </x:c>
      <x:c r="L286" s="22" t="n">
        <x:f>J286*K286</x:f>
        <x:v>0.006</x:v>
      </x:c>
      <x:c r="M286" s="18" t="str">
        <x:f>IF(K286&gt;INDEX($I$6:$K$11,MATCH(A286,$H$6:$H$11,0),MATCH(B286&amp;"連線",$I$5:$K$5,0)),"取 Wild 連線較高賠率","取一般圖案連線賠率")</x:f>
        <x:v>取一般圖案連線賠率</x:v>
      </x:c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</x:row>
    <x:row r="287">
      <x:c r="A287" s="18" t="str">
        <x:v>9</x:v>
      </x:c>
      <x:c r="B287" s="18" t="n">
        <x:v>5</x:v>
      </x:c>
      <x:c r="C287" s="18" t="n">
        <x:f>IF(D287&lt;&gt;"W",0,IF(E287&lt;&gt;"W",1,IF(F287&lt;&gt;"W",2,IF(G287&lt;&gt;"W",3,IF(H287&lt;&gt;"W",4,5)))))</x:f>
        <x:v>0</x:v>
      </x:c>
      <x:c r="D287" s="18" t="str">
        <x:v>9</x:v>
      </x:c>
      <x:c r="E287" s="18" t="str">
        <x:v>9</x:v>
      </x:c>
      <x:c r="F287" s="18" t="str">
        <x:v>9</x:v>
      </x:c>
      <x:c r="G287" s="18" t="str">
        <x:v>W</x:v>
      </x:c>
      <x:c r="H287" s="18" t="str">
        <x:v>W</x:v>
      </x:c>
      <x:c r="I287" s="21" t="n">
        <x:f>PRODUCT(VLOOKUP(D287,$A$29:$F$42,2,FALSE),VLOOKUP(E287,$A$29:$F$42,3,FALSE),VLOOKUP(F287,$A$29:$F$42,4,FALSE),VLOOKUP(G287,$A$29:$F$42,5,FALSE),VLOOKUP(H287,$A$29:$F$42,6,FALSE))</x:f>
        <x:v>384</x:v>
      </x:c>
      <x:c r="J287" s="22" t="n">
        <x:f>I287/$N$5</x:f>
        <x:v>0.00012</x:v>
      </x:c>
      <x:c r="K287" s="18" t="n">
        <x:f>MAX(INDEX($I$6:$K$11,MATCH(A287,$H$6:$H$11,0),MATCH(B287&amp;"連線",$I$5:$K$5,0)),IF(C287&gt;=3,INDEX($I$6:$K$11,MATCH("W",$H$6:$H$11,0),MATCH(C287&amp;"連線",$I$5:$K$5,0)),0))</x:f>
        <x:v>50</x:v>
      </x:c>
      <x:c r="L287" s="22" t="n">
        <x:f>J287*K287</x:f>
        <x:v>0.006</x:v>
      </x:c>
      <x:c r="M287" s="18" t="str">
        <x:f>IF(K287&gt;INDEX($I$6:$K$11,MATCH(A287,$H$6:$H$11,0),MATCH(B287&amp;"連線",$I$5:$K$5,0)),"取 Wild 連線較高賠率","取一般圖案連線賠率")</x:f>
        <x:v>取一般圖案連線賠率</x:v>
      </x:c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</x:row>
    <x:row r="288">
      <x:c r="A288" s="18" t="str">
        <x:v>9</x:v>
      </x:c>
      <x:c r="B288" s="18" t="n">
        <x:v>5</x:v>
      </x:c>
      <x:c r="C288" s="18" t="n">
        <x:f>IF(D288&lt;&gt;"W",0,IF(E288&lt;&gt;"W",1,IF(F288&lt;&gt;"W",2,IF(G288&lt;&gt;"W",3,IF(H288&lt;&gt;"W",4,5)))))</x:f>
        <x:v>3</x:v>
      </x:c>
      <x:c r="D288" s="18" t="str">
        <x:v>W</x:v>
      </x:c>
      <x:c r="E288" s="18" t="str">
        <x:v>W</x:v>
      </x:c>
      <x:c r="F288" s="18" t="str">
        <x:v>W</x:v>
      </x:c>
      <x:c r="G288" s="18" t="str">
        <x:v>9</x:v>
      </x:c>
      <x:c r="H288" s="18" t="str">
        <x:v>9</x:v>
      </x:c>
      <x:c r="I288" s="21" t="n">
        <x:f>PRODUCT(VLOOKUP(D288,$A$29:$F$42,2,FALSE),VLOOKUP(E288,$A$29:$F$42,3,FALSE),VLOOKUP(F288,$A$29:$F$42,4,FALSE),VLOOKUP(G288,$A$29:$F$42,5,FALSE),VLOOKUP(H288,$A$29:$F$42,6,FALSE))</x:f>
        <x:v>128</x:v>
      </x:c>
      <x:c r="J288" s="22" t="n">
        <x:f>I288/$N$5</x:f>
        <x:v>0.00004</x:v>
      </x:c>
      <x:c r="K288" s="18" t="n">
        <x:f>MAX(INDEX($I$6:$K$11,MATCH(A288,$H$6:$H$11,0),MATCH(B288&amp;"連線",$I$5:$K$5,0)),IF(C288&gt;=3,INDEX($I$6:$K$11,MATCH("W",$H$6:$H$11,0),MATCH(C288&amp;"連線",$I$5:$K$5,0)),0))</x:f>
        <x:v>150</x:v>
      </x:c>
      <x:c r="L288" s="22" t="n">
        <x:f>J288*K288</x:f>
        <x:v>0.006</x:v>
      </x:c>
      <x:c r="M288" s="18" t="str">
        <x:f>IF(K288&gt;INDEX($I$6:$K$11,MATCH(A288,$H$6:$H$11,0),MATCH(B288&amp;"連線",$I$5:$K$5,0)),"取 Wild 連線較高賠率","取一般圖案連線賠率")</x:f>
        <x:v>取 Wild 連線較高賠率</x:v>
      </x:c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</x:row>
    <x:row r="289">
      <x:c r="A289" s="18" t="str">
        <x:v>9</x:v>
      </x:c>
      <x:c r="B289" s="18" t="n">
        <x:v>5</x:v>
      </x:c>
      <x:c r="C289" s="18" t="n">
        <x:f>IF(D289&lt;&gt;"W",0,IF(E289&lt;&gt;"W",1,IF(F289&lt;&gt;"W",2,IF(G289&lt;&gt;"W",3,IF(H289&lt;&gt;"W",4,5)))))</x:f>
        <x:v>2</x:v>
      </x:c>
      <x:c r="D289" s="18" t="str">
        <x:v>W</x:v>
      </x:c>
      <x:c r="E289" s="18" t="str">
        <x:v>W</x:v>
      </x:c>
      <x:c r="F289" s="18" t="str">
        <x:v>9</x:v>
      </x:c>
      <x:c r="G289" s="18" t="str">
        <x:v>W</x:v>
      </x:c>
      <x:c r="H289" s="18" t="str">
        <x:v>9</x:v>
      </x:c>
      <x:c r="I289" s="21" t="n">
        <x:f>PRODUCT(VLOOKUP(D289,$A$29:$F$42,2,FALSE),VLOOKUP(E289,$A$29:$F$42,3,FALSE),VLOOKUP(F289,$A$29:$F$42,4,FALSE),VLOOKUP(G289,$A$29:$F$42,5,FALSE),VLOOKUP(H289,$A$29:$F$42,6,FALSE))</x:f>
        <x:v>128</x:v>
      </x:c>
      <x:c r="J289" s="22" t="n">
        <x:f>I289/$N$5</x:f>
        <x:v>0.00004</x:v>
      </x:c>
      <x:c r="K289" s="18" t="n">
        <x:f>MAX(INDEX($I$6:$K$11,MATCH(A289,$H$6:$H$11,0),MATCH(B289&amp;"連線",$I$5:$K$5,0)),IF(C289&gt;=3,INDEX($I$6:$K$11,MATCH("W",$H$6:$H$11,0),MATCH(C289&amp;"連線",$I$5:$K$5,0)),0))</x:f>
        <x:v>50</x:v>
      </x:c>
      <x:c r="L289" s="22" t="n">
        <x:f>J289*K289</x:f>
        <x:v>0.002</x:v>
      </x:c>
      <x:c r="M289" s="18" t="str">
        <x:f>IF(K289&gt;INDEX($I$6:$K$11,MATCH(A289,$H$6:$H$11,0),MATCH(B289&amp;"連線",$I$5:$K$5,0)),"取 Wild 連線較高賠率","取一般圖案連線賠率")</x:f>
        <x:v>取一般圖案連線賠率</x:v>
      </x:c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</x:row>
    <x:row r="290">
      <x:c r="A290" s="18" t="str">
        <x:v>9</x:v>
      </x:c>
      <x:c r="B290" s="18" t="n">
        <x:v>5</x:v>
      </x:c>
      <x:c r="C290" s="18" t="n">
        <x:f>IF(D290&lt;&gt;"W",0,IF(E290&lt;&gt;"W",1,IF(F290&lt;&gt;"W",2,IF(G290&lt;&gt;"W",3,IF(H290&lt;&gt;"W",4,5)))))</x:f>
        <x:v>2</x:v>
      </x:c>
      <x:c r="D290" s="18" t="str">
        <x:v>W</x:v>
      </x:c>
      <x:c r="E290" s="18" t="str">
        <x:v>W</x:v>
      </x:c>
      <x:c r="F290" s="18" t="str">
        <x:v>9</x:v>
      </x:c>
      <x:c r="G290" s="18" t="str">
        <x:v>9</x:v>
      </x:c>
      <x:c r="H290" s="18" t="str">
        <x:v>W</x:v>
      </x:c>
      <x:c r="I290" s="21" t="n">
        <x:f>PRODUCT(VLOOKUP(D290,$A$29:$F$42,2,FALSE),VLOOKUP(E290,$A$29:$F$42,3,FALSE),VLOOKUP(F290,$A$29:$F$42,4,FALSE),VLOOKUP(G290,$A$29:$F$42,5,FALSE),VLOOKUP(H290,$A$29:$F$42,6,FALSE))</x:f>
        <x:v>128</x:v>
      </x:c>
      <x:c r="J290" s="22" t="n">
        <x:f>I290/$N$5</x:f>
        <x:v>0.00004</x:v>
      </x:c>
      <x:c r="K290" s="18" t="n">
        <x:f>MAX(INDEX($I$6:$K$11,MATCH(A290,$H$6:$H$11,0),MATCH(B290&amp;"連線",$I$5:$K$5,0)),IF(C290&gt;=3,INDEX($I$6:$K$11,MATCH("W",$H$6:$H$11,0),MATCH(C290&amp;"連線",$I$5:$K$5,0)),0))</x:f>
        <x:v>50</x:v>
      </x:c>
      <x:c r="L290" s="22" t="n">
        <x:f>J290*K290</x:f>
        <x:v>0.002</x:v>
      </x:c>
      <x:c r="M290" s="18" t="str">
        <x:f>IF(K290&gt;INDEX($I$6:$K$11,MATCH(A290,$H$6:$H$11,0),MATCH(B290&amp;"連線",$I$5:$K$5,0)),"取 Wild 連線較高賠率","取一般圖案連線賠率")</x:f>
        <x:v>取一般圖案連線賠率</x:v>
      </x:c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</x:row>
    <x:row r="291">
      <x:c r="A291" s="18" t="str">
        <x:v>9</x:v>
      </x:c>
      <x:c r="B291" s="18" t="n">
        <x:v>5</x:v>
      </x:c>
      <x:c r="C291" s="18" t="n">
        <x:f>IF(D291&lt;&gt;"W",0,IF(E291&lt;&gt;"W",1,IF(F291&lt;&gt;"W",2,IF(G291&lt;&gt;"W",3,IF(H291&lt;&gt;"W",4,5)))))</x:f>
        <x:v>1</x:v>
      </x:c>
      <x:c r="D291" s="18" t="str">
        <x:v>W</x:v>
      </x:c>
      <x:c r="E291" s="18" t="str">
        <x:v>9</x:v>
      </x:c>
      <x:c r="F291" s="18" t="str">
        <x:v>W</x:v>
      </x:c>
      <x:c r="G291" s="18" t="str">
        <x:v>W</x:v>
      </x:c>
      <x:c r="H291" s="18" t="str">
        <x:v>9</x:v>
      </x:c>
      <x:c r="I291" s="21" t="n">
        <x:f>PRODUCT(VLOOKUP(D291,$A$29:$F$42,2,FALSE),VLOOKUP(E291,$A$29:$F$42,3,FALSE),VLOOKUP(F291,$A$29:$F$42,4,FALSE),VLOOKUP(G291,$A$29:$F$42,5,FALSE),VLOOKUP(H291,$A$29:$F$42,6,FALSE))</x:f>
        <x:v>128</x:v>
      </x:c>
      <x:c r="J291" s="22" t="n">
        <x:f>I291/$N$5</x:f>
        <x:v>0.00004</x:v>
      </x:c>
      <x:c r="K291" s="18" t="n">
        <x:f>MAX(INDEX($I$6:$K$11,MATCH(A291,$H$6:$H$11,0),MATCH(B291&amp;"連線",$I$5:$K$5,0)),IF(C291&gt;=3,INDEX($I$6:$K$11,MATCH("W",$H$6:$H$11,0),MATCH(C291&amp;"連線",$I$5:$K$5,0)),0))</x:f>
        <x:v>50</x:v>
      </x:c>
      <x:c r="L291" s="22" t="n">
        <x:f>J291*K291</x:f>
        <x:v>0.002</x:v>
      </x:c>
      <x:c r="M291" s="18" t="str">
        <x:f>IF(K291&gt;INDEX($I$6:$K$11,MATCH(A291,$H$6:$H$11,0),MATCH(B291&amp;"連線",$I$5:$K$5,0)),"取 Wild 連線較高賠率","取一般圖案連線賠率")</x:f>
        <x:v>取一般圖案連線賠率</x:v>
      </x:c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</x:row>
    <x:row r="292">
      <x:c r="A292" s="18" t="str">
        <x:v>9</x:v>
      </x:c>
      <x:c r="B292" s="18" t="n">
        <x:v>5</x:v>
      </x:c>
      <x:c r="C292" s="18" t="n">
        <x:f>IF(D292&lt;&gt;"W",0,IF(E292&lt;&gt;"W",1,IF(F292&lt;&gt;"W",2,IF(G292&lt;&gt;"W",3,IF(H292&lt;&gt;"W",4,5)))))</x:f>
        <x:v>1</x:v>
      </x:c>
      <x:c r="D292" s="18" t="str">
        <x:v>W</x:v>
      </x:c>
      <x:c r="E292" s="18" t="str">
        <x:v>9</x:v>
      </x:c>
      <x:c r="F292" s="18" t="str">
        <x:v>W</x:v>
      </x:c>
      <x:c r="G292" s="18" t="str">
        <x:v>9</x:v>
      </x:c>
      <x:c r="H292" s="18" t="str">
        <x:v>W</x:v>
      </x:c>
      <x:c r="I292" s="21" t="n">
        <x:f>PRODUCT(VLOOKUP(D292,$A$29:$F$42,2,FALSE),VLOOKUP(E292,$A$29:$F$42,3,FALSE),VLOOKUP(F292,$A$29:$F$42,4,FALSE),VLOOKUP(G292,$A$29:$F$42,5,FALSE),VLOOKUP(H292,$A$29:$F$42,6,FALSE))</x:f>
        <x:v>128</x:v>
      </x:c>
      <x:c r="J292" s="22" t="n">
        <x:f>I292/$N$5</x:f>
        <x:v>0.00004</x:v>
      </x:c>
      <x:c r="K292" s="18" t="n">
        <x:f>MAX(INDEX($I$6:$K$11,MATCH(A292,$H$6:$H$11,0),MATCH(B292&amp;"連線",$I$5:$K$5,0)),IF(C292&gt;=3,INDEX($I$6:$K$11,MATCH("W",$H$6:$H$11,0),MATCH(C292&amp;"連線",$I$5:$K$5,0)),0))</x:f>
        <x:v>50</x:v>
      </x:c>
      <x:c r="L292" s="22" t="n">
        <x:f>J292*K292</x:f>
        <x:v>0.002</x:v>
      </x:c>
      <x:c r="M292" s="18" t="str">
        <x:f>IF(K292&gt;INDEX($I$6:$K$11,MATCH(A292,$H$6:$H$11,0),MATCH(B292&amp;"連線",$I$5:$K$5,0)),"取 Wild 連線較高賠率","取一般圖案連線賠率")</x:f>
        <x:v>取一般圖案連線賠率</x:v>
      </x:c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</x:row>
    <x:row r="293">
      <x:c r="A293" s="18" t="str">
        <x:v>9</x:v>
      </x:c>
      <x:c r="B293" s="18" t="n">
        <x:v>5</x:v>
      </x:c>
      <x:c r="C293" s="18" t="n">
        <x:f>IF(D293&lt;&gt;"W",0,IF(E293&lt;&gt;"W",1,IF(F293&lt;&gt;"W",2,IF(G293&lt;&gt;"W",3,IF(H293&lt;&gt;"W",4,5)))))</x:f>
        <x:v>1</x:v>
      </x:c>
      <x:c r="D293" s="18" t="str">
        <x:v>W</x:v>
      </x:c>
      <x:c r="E293" s="18" t="str">
        <x:v>9</x:v>
      </x:c>
      <x:c r="F293" s="18" t="str">
        <x:v>9</x:v>
      </x:c>
      <x:c r="G293" s="18" t="str">
        <x:v>W</x:v>
      </x:c>
      <x:c r="H293" s="18" t="str">
        <x:v>W</x:v>
      </x:c>
      <x:c r="I293" s="21" t="n">
        <x:f>PRODUCT(VLOOKUP(D293,$A$29:$F$42,2,FALSE),VLOOKUP(E293,$A$29:$F$42,3,FALSE),VLOOKUP(F293,$A$29:$F$42,4,FALSE),VLOOKUP(G293,$A$29:$F$42,5,FALSE),VLOOKUP(H293,$A$29:$F$42,6,FALSE))</x:f>
        <x:v>128</x:v>
      </x:c>
      <x:c r="J293" s="22" t="n">
        <x:f>I293/$N$5</x:f>
        <x:v>0.00004</x:v>
      </x:c>
      <x:c r="K293" s="18" t="n">
        <x:f>MAX(INDEX($I$6:$K$11,MATCH(A293,$H$6:$H$11,0),MATCH(B293&amp;"連線",$I$5:$K$5,0)),IF(C293&gt;=3,INDEX($I$6:$K$11,MATCH("W",$H$6:$H$11,0),MATCH(C293&amp;"連線",$I$5:$K$5,0)),0))</x:f>
        <x:v>50</x:v>
      </x:c>
      <x:c r="L293" s="22" t="n">
        <x:f>J293*K293</x:f>
        <x:v>0.002</x:v>
      </x:c>
      <x:c r="M293" s="18" t="str">
        <x:f>IF(K293&gt;INDEX($I$6:$K$11,MATCH(A293,$H$6:$H$11,0),MATCH(B293&amp;"連線",$I$5:$K$5,0)),"取 Wild 連線較高賠率","取一般圖案連線賠率")</x:f>
        <x:v>取一般圖案連線賠率</x:v>
      </x:c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</x:row>
    <x:row r="294">
      <x:c r="A294" s="18" t="str">
        <x:v>9</x:v>
      </x:c>
      <x:c r="B294" s="18" t="n">
        <x:v>5</x:v>
      </x:c>
      <x:c r="C294" s="18" t="n">
        <x:f>IF(D294&lt;&gt;"W",0,IF(E294&lt;&gt;"W",1,IF(F294&lt;&gt;"W",2,IF(G294&lt;&gt;"W",3,IF(H294&lt;&gt;"W",4,5)))))</x:f>
        <x:v>0</x:v>
      </x:c>
      <x:c r="D294" s="18" t="str">
        <x:v>9</x:v>
      </x:c>
      <x:c r="E294" s="18" t="str">
        <x:v>W</x:v>
      </x:c>
      <x:c r="F294" s="18" t="str">
        <x:v>W</x:v>
      </x:c>
      <x:c r="G294" s="18" t="str">
        <x:v>W</x:v>
      </x:c>
      <x:c r="H294" s="18" t="str">
        <x:v>9</x:v>
      </x:c>
      <x:c r="I294" s="21" t="n">
        <x:f>PRODUCT(VLOOKUP(D294,$A$29:$F$42,2,FALSE),VLOOKUP(E294,$A$29:$F$42,3,FALSE),VLOOKUP(F294,$A$29:$F$42,4,FALSE),VLOOKUP(G294,$A$29:$F$42,5,FALSE),VLOOKUP(H294,$A$29:$F$42,6,FALSE))</x:f>
        <x:v>192</x:v>
      </x:c>
      <x:c r="J294" s="22" t="n">
        <x:f>I294/$N$5</x:f>
        <x:v>0.00006</x:v>
      </x:c>
      <x:c r="K294" s="18" t="n">
        <x:f>MAX(INDEX($I$6:$K$11,MATCH(A294,$H$6:$H$11,0),MATCH(B294&amp;"連線",$I$5:$K$5,0)),IF(C294&gt;=3,INDEX($I$6:$K$11,MATCH("W",$H$6:$H$11,0),MATCH(C294&amp;"連線",$I$5:$K$5,0)),0))</x:f>
        <x:v>50</x:v>
      </x:c>
      <x:c r="L294" s="22" t="n">
        <x:f>J294*K294</x:f>
        <x:v>0.003</x:v>
      </x:c>
      <x:c r="M294" s="18" t="str">
        <x:f>IF(K294&gt;INDEX($I$6:$K$11,MATCH(A294,$H$6:$H$11,0),MATCH(B294&amp;"連線",$I$5:$K$5,0)),"取 Wild 連線較高賠率","取一般圖案連線賠率")</x:f>
        <x:v>取一般圖案連線賠率</x:v>
      </x:c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</x:row>
    <x:row r="295">
      <x:c r="A295" s="18" t="str">
        <x:v>9</x:v>
      </x:c>
      <x:c r="B295" s="18" t="n">
        <x:v>5</x:v>
      </x:c>
      <x:c r="C295" s="18" t="n">
        <x:f>IF(D295&lt;&gt;"W",0,IF(E295&lt;&gt;"W",1,IF(F295&lt;&gt;"W",2,IF(G295&lt;&gt;"W",3,IF(H295&lt;&gt;"W",4,5)))))</x:f>
        <x:v>0</x:v>
      </x:c>
      <x:c r="D295" s="18" t="str">
        <x:v>9</x:v>
      </x:c>
      <x:c r="E295" s="18" t="str">
        <x:v>W</x:v>
      </x:c>
      <x:c r="F295" s="18" t="str">
        <x:v>W</x:v>
      </x:c>
      <x:c r="G295" s="18" t="str">
        <x:v>9</x:v>
      </x:c>
      <x:c r="H295" s="18" t="str">
        <x:v>W</x:v>
      </x:c>
      <x:c r="I295" s="21" t="n">
        <x:f>PRODUCT(VLOOKUP(D295,$A$29:$F$42,2,FALSE),VLOOKUP(E295,$A$29:$F$42,3,FALSE),VLOOKUP(F295,$A$29:$F$42,4,FALSE),VLOOKUP(G295,$A$29:$F$42,5,FALSE),VLOOKUP(H295,$A$29:$F$42,6,FALSE))</x:f>
        <x:v>192</x:v>
      </x:c>
      <x:c r="J295" s="22" t="n">
        <x:f>I295/$N$5</x:f>
        <x:v>0.00006</x:v>
      </x:c>
      <x:c r="K295" s="18" t="n">
        <x:f>MAX(INDEX($I$6:$K$11,MATCH(A295,$H$6:$H$11,0),MATCH(B295&amp;"連線",$I$5:$K$5,0)),IF(C295&gt;=3,INDEX($I$6:$K$11,MATCH("W",$H$6:$H$11,0),MATCH(C295&amp;"連線",$I$5:$K$5,0)),0))</x:f>
        <x:v>50</x:v>
      </x:c>
      <x:c r="L295" s="22" t="n">
        <x:f>J295*K295</x:f>
        <x:v>0.003</x:v>
      </x:c>
      <x:c r="M295" s="18" t="str">
        <x:f>IF(K295&gt;INDEX($I$6:$K$11,MATCH(A295,$H$6:$H$11,0),MATCH(B295&amp;"連線",$I$5:$K$5,0)),"取 Wild 連線較高賠率","取一般圖案連線賠率")</x:f>
        <x:v>取一般圖案連線賠率</x:v>
      </x:c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</x:row>
    <x:row r="296">
      <x:c r="A296" s="18" t="str">
        <x:v>9</x:v>
      </x:c>
      <x:c r="B296" s="18" t="n">
        <x:v>5</x:v>
      </x:c>
      <x:c r="C296" s="18" t="n">
        <x:f>IF(D296&lt;&gt;"W",0,IF(E296&lt;&gt;"W",1,IF(F296&lt;&gt;"W",2,IF(G296&lt;&gt;"W",3,IF(H296&lt;&gt;"W",4,5)))))</x:f>
        <x:v>0</x:v>
      </x:c>
      <x:c r="D296" s="18" t="str">
        <x:v>9</x:v>
      </x:c>
      <x:c r="E296" s="18" t="str">
        <x:v>W</x:v>
      </x:c>
      <x:c r="F296" s="18" t="str">
        <x:v>9</x:v>
      </x:c>
      <x:c r="G296" s="18" t="str">
        <x:v>W</x:v>
      </x:c>
      <x:c r="H296" s="18" t="str">
        <x:v>W</x:v>
      </x:c>
      <x:c r="I296" s="21" t="n">
        <x:f>PRODUCT(VLOOKUP(D296,$A$29:$F$42,2,FALSE),VLOOKUP(E296,$A$29:$F$42,3,FALSE),VLOOKUP(F296,$A$29:$F$42,4,FALSE),VLOOKUP(G296,$A$29:$F$42,5,FALSE),VLOOKUP(H296,$A$29:$F$42,6,FALSE))</x:f>
        <x:v>192</x:v>
      </x:c>
      <x:c r="J296" s="22" t="n">
        <x:f>I296/$N$5</x:f>
        <x:v>0.00006</x:v>
      </x:c>
      <x:c r="K296" s="18" t="n">
        <x:f>MAX(INDEX($I$6:$K$11,MATCH(A296,$H$6:$H$11,0),MATCH(B296&amp;"連線",$I$5:$K$5,0)),IF(C296&gt;=3,INDEX($I$6:$K$11,MATCH("W",$H$6:$H$11,0),MATCH(C296&amp;"連線",$I$5:$K$5,0)),0))</x:f>
        <x:v>50</x:v>
      </x:c>
      <x:c r="L296" s="22" t="n">
        <x:f>J296*K296</x:f>
        <x:v>0.003</x:v>
      </x:c>
      <x:c r="M296" s="18" t="str">
        <x:f>IF(K296&gt;INDEX($I$6:$K$11,MATCH(A296,$H$6:$H$11,0),MATCH(B296&amp;"連線",$I$5:$K$5,0)),"取 Wild 連線較高賠率","取一般圖案連線賠率")</x:f>
        <x:v>取一般圖案連線賠率</x:v>
      </x:c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</x:row>
    <x:row r="297">
      <x:c r="A297" s="18" t="str">
        <x:v>9</x:v>
      </x:c>
      <x:c r="B297" s="18" t="n">
        <x:v>5</x:v>
      </x:c>
      <x:c r="C297" s="18" t="n">
        <x:f>IF(D297&lt;&gt;"W",0,IF(E297&lt;&gt;"W",1,IF(F297&lt;&gt;"W",2,IF(G297&lt;&gt;"W",3,IF(H297&lt;&gt;"W",4,5)))))</x:f>
        <x:v>0</x:v>
      </x:c>
      <x:c r="D297" s="18" t="str">
        <x:v>9</x:v>
      </x:c>
      <x:c r="E297" s="18" t="str">
        <x:v>9</x:v>
      </x:c>
      <x:c r="F297" s="18" t="str">
        <x:v>W</x:v>
      </x:c>
      <x:c r="G297" s="18" t="str">
        <x:v>W</x:v>
      </x:c>
      <x:c r="H297" s="18" t="str">
        <x:v>W</x:v>
      </x:c>
      <x:c r="I297" s="21" t="n">
        <x:f>PRODUCT(VLOOKUP(D297,$A$29:$F$42,2,FALSE),VLOOKUP(E297,$A$29:$F$42,3,FALSE),VLOOKUP(F297,$A$29:$F$42,4,FALSE),VLOOKUP(G297,$A$29:$F$42,5,FALSE),VLOOKUP(H297,$A$29:$F$42,6,FALSE))</x:f>
        <x:v>192</x:v>
      </x:c>
      <x:c r="J297" s="22" t="n">
        <x:f>I297/$N$5</x:f>
        <x:v>0.00006</x:v>
      </x:c>
      <x:c r="K297" s="18" t="n">
        <x:f>MAX(INDEX($I$6:$K$11,MATCH(A297,$H$6:$H$11,0),MATCH(B297&amp;"連線",$I$5:$K$5,0)),IF(C297&gt;=3,INDEX($I$6:$K$11,MATCH("W",$H$6:$H$11,0),MATCH(C297&amp;"連線",$I$5:$K$5,0)),0))</x:f>
        <x:v>50</x:v>
      </x:c>
      <x:c r="L297" s="22" t="n">
        <x:f>J297*K297</x:f>
        <x:v>0.003</x:v>
      </x:c>
      <x:c r="M297" s="18" t="str">
        <x:f>IF(K297&gt;INDEX($I$6:$K$11,MATCH(A297,$H$6:$H$11,0),MATCH(B297&amp;"連線",$I$5:$K$5,0)),"取 Wild 連線較高賠率","取一般圖案連線賠率")</x:f>
        <x:v>取一般圖案連線賠率</x:v>
      </x:c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</x:row>
    <x:row r="298">
      <x:c r="A298" s="18" t="str">
        <x:v>9</x:v>
      </x:c>
      <x:c r="B298" s="18" t="n">
        <x:v>5</x:v>
      </x:c>
      <x:c r="C298" s="18" t="n">
        <x:f>IF(D298&lt;&gt;"W",0,IF(E298&lt;&gt;"W",1,IF(F298&lt;&gt;"W",2,IF(G298&lt;&gt;"W",3,IF(H298&lt;&gt;"W",4,5)))))</x:f>
        <x:v>4</x:v>
      </x:c>
      <x:c r="D298" s="18" t="str">
        <x:v>W</x:v>
      </x:c>
      <x:c r="E298" s="18" t="str">
        <x:v>W</x:v>
      </x:c>
      <x:c r="F298" s="18" t="str">
        <x:v>W</x:v>
      </x:c>
      <x:c r="G298" s="18" t="str">
        <x:v>W</x:v>
      </x:c>
      <x:c r="H298" s="18" t="str">
        <x:v>9</x:v>
      </x:c>
      <x:c r="I298" s="21" t="n">
        <x:f>PRODUCT(VLOOKUP(D298,$A$29:$F$42,2,FALSE),VLOOKUP(E298,$A$29:$F$42,3,FALSE),VLOOKUP(F298,$A$29:$F$42,4,FALSE),VLOOKUP(G298,$A$29:$F$42,5,FALSE),VLOOKUP(H298,$A$29:$F$42,6,FALSE))</x:f>
        <x:v>64</x:v>
      </x:c>
      <x:c r="J298" s="22" t="n">
        <x:f>I298/$N$5</x:f>
        <x:v>0.00002</x:v>
      </x:c>
      <x:c r="K298" s="18" t="n">
        <x:f>MAX(INDEX($I$6:$K$11,MATCH(A298,$H$6:$H$11,0),MATCH(B298&amp;"連線",$I$5:$K$5,0)),IF(C298&gt;=3,INDEX($I$6:$K$11,MATCH("W",$H$6:$H$11,0),MATCH(C298&amp;"連線",$I$5:$K$5,0)),0))</x:f>
        <x:v>300</x:v>
      </x:c>
      <x:c r="L298" s="22" t="n">
        <x:f>J298*K298</x:f>
        <x:v>0.006</x:v>
      </x:c>
      <x:c r="M298" s="18" t="str">
        <x:f>IF(K298&gt;INDEX($I$6:$K$11,MATCH(A298,$H$6:$H$11,0),MATCH(B298&amp;"連線",$I$5:$K$5,0)),"取 Wild 連線較高賠率","取一般圖案連線賠率")</x:f>
        <x:v>取 Wild 連線較高賠率</x:v>
      </x:c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</x:row>
    <x:row r="299">
      <x:c r="A299" s="18" t="str">
        <x:v>9</x:v>
      </x:c>
      <x:c r="B299" s="18" t="n">
        <x:v>5</x:v>
      </x:c>
      <x:c r="C299" s="18" t="n">
        <x:f>IF(D299&lt;&gt;"W",0,IF(E299&lt;&gt;"W",1,IF(F299&lt;&gt;"W",2,IF(G299&lt;&gt;"W",3,IF(H299&lt;&gt;"W",4,5)))))</x:f>
        <x:v>3</x:v>
      </x:c>
      <x:c r="D299" s="18" t="str">
        <x:v>W</x:v>
      </x:c>
      <x:c r="E299" s="18" t="str">
        <x:v>W</x:v>
      </x:c>
      <x:c r="F299" s="18" t="str">
        <x:v>W</x:v>
      </x:c>
      <x:c r="G299" s="18" t="str">
        <x:v>9</x:v>
      </x:c>
      <x:c r="H299" s="18" t="str">
        <x:v>W</x:v>
      </x:c>
      <x:c r="I299" s="21" t="n">
        <x:f>PRODUCT(VLOOKUP(D299,$A$29:$F$42,2,FALSE),VLOOKUP(E299,$A$29:$F$42,3,FALSE),VLOOKUP(F299,$A$29:$F$42,4,FALSE),VLOOKUP(G299,$A$29:$F$42,5,FALSE),VLOOKUP(H299,$A$29:$F$42,6,FALSE))</x:f>
        <x:v>64</x:v>
      </x:c>
      <x:c r="J299" s="22" t="n">
        <x:f>I299/$N$5</x:f>
        <x:v>0.00002</x:v>
      </x:c>
      <x:c r="K299" s="18" t="n">
        <x:f>MAX(INDEX($I$6:$K$11,MATCH(A299,$H$6:$H$11,0),MATCH(B299&amp;"連線",$I$5:$K$5,0)),IF(C299&gt;=3,INDEX($I$6:$K$11,MATCH("W",$H$6:$H$11,0),MATCH(C299&amp;"連線",$I$5:$K$5,0)),0))</x:f>
        <x:v>150</x:v>
      </x:c>
      <x:c r="L299" s="22" t="n">
        <x:f>J299*K299</x:f>
        <x:v>0.003</x:v>
      </x:c>
      <x:c r="M299" s="18" t="str">
        <x:f>IF(K299&gt;INDEX($I$6:$K$11,MATCH(A299,$H$6:$H$11,0),MATCH(B299&amp;"連線",$I$5:$K$5,0)),"取 Wild 連線較高賠率","取一般圖案連線賠率")</x:f>
        <x:v>取 Wild 連線較高賠率</x:v>
      </x:c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</x:row>
    <x:row r="300">
      <x:c r="A300" s="18" t="str">
        <x:v>9</x:v>
      </x:c>
      <x:c r="B300" s="18" t="n">
        <x:v>5</x:v>
      </x:c>
      <x:c r="C300" s="18" t="n">
        <x:f>IF(D300&lt;&gt;"W",0,IF(E300&lt;&gt;"W",1,IF(F300&lt;&gt;"W",2,IF(G300&lt;&gt;"W",3,IF(H300&lt;&gt;"W",4,5)))))</x:f>
        <x:v>2</x:v>
      </x:c>
      <x:c r="D300" s="18" t="str">
        <x:v>W</x:v>
      </x:c>
      <x:c r="E300" s="18" t="str">
        <x:v>W</x:v>
      </x:c>
      <x:c r="F300" s="18" t="str">
        <x:v>9</x:v>
      </x:c>
      <x:c r="G300" s="18" t="str">
        <x:v>W</x:v>
      </x:c>
      <x:c r="H300" s="18" t="str">
        <x:v>W</x:v>
      </x:c>
      <x:c r="I300" s="21" t="n">
        <x:f>PRODUCT(VLOOKUP(D300,$A$29:$F$42,2,FALSE),VLOOKUP(E300,$A$29:$F$42,3,FALSE),VLOOKUP(F300,$A$29:$F$42,4,FALSE),VLOOKUP(G300,$A$29:$F$42,5,FALSE),VLOOKUP(H300,$A$29:$F$42,6,FALSE))</x:f>
        <x:v>64</x:v>
      </x:c>
      <x:c r="J300" s="22" t="n">
        <x:f>I300/$N$5</x:f>
        <x:v>0.00002</x:v>
      </x:c>
      <x:c r="K300" s="18" t="n">
        <x:f>MAX(INDEX($I$6:$K$11,MATCH(A300,$H$6:$H$11,0),MATCH(B300&amp;"連線",$I$5:$K$5,0)),IF(C300&gt;=3,INDEX($I$6:$K$11,MATCH("W",$H$6:$H$11,0),MATCH(C300&amp;"連線",$I$5:$K$5,0)),0))</x:f>
        <x:v>50</x:v>
      </x:c>
      <x:c r="L300" s="22" t="n">
        <x:f>J300*K300</x:f>
        <x:v>0.001</x:v>
      </x:c>
      <x:c r="M300" s="18" t="str">
        <x:f>IF(K300&gt;INDEX($I$6:$K$11,MATCH(A300,$H$6:$H$11,0),MATCH(B300&amp;"連線",$I$5:$K$5,0)),"取 Wild 連線較高賠率","取一般圖案連線賠率")</x:f>
        <x:v>取一般圖案連線賠率</x:v>
      </x:c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</x:row>
    <x:row r="301">
      <x:c r="A301" s="18" t="str">
        <x:v>9</x:v>
      </x:c>
      <x:c r="B301" s="18" t="n">
        <x:v>5</x:v>
      </x:c>
      <x:c r="C301" s="18" t="n">
        <x:f>IF(D301&lt;&gt;"W",0,IF(E301&lt;&gt;"W",1,IF(F301&lt;&gt;"W",2,IF(G301&lt;&gt;"W",3,IF(H301&lt;&gt;"W",4,5)))))</x:f>
        <x:v>1</x:v>
      </x:c>
      <x:c r="D301" s="18" t="str">
        <x:v>W</x:v>
      </x:c>
      <x:c r="E301" s="18" t="str">
        <x:v>9</x:v>
      </x:c>
      <x:c r="F301" s="18" t="str">
        <x:v>W</x:v>
      </x:c>
      <x:c r="G301" s="18" t="str">
        <x:v>W</x:v>
      </x:c>
      <x:c r="H301" s="18" t="str">
        <x:v>W</x:v>
      </x:c>
      <x:c r="I301" s="21" t="n">
        <x:f>PRODUCT(VLOOKUP(D301,$A$29:$F$42,2,FALSE),VLOOKUP(E301,$A$29:$F$42,3,FALSE),VLOOKUP(F301,$A$29:$F$42,4,FALSE),VLOOKUP(G301,$A$29:$F$42,5,FALSE),VLOOKUP(H301,$A$29:$F$42,6,FALSE))</x:f>
        <x:v>64</x:v>
      </x:c>
      <x:c r="J301" s="22" t="n">
        <x:f>I301/$N$5</x:f>
        <x:v>0.00002</x:v>
      </x:c>
      <x:c r="K301" s="18" t="n">
        <x:f>MAX(INDEX($I$6:$K$11,MATCH(A301,$H$6:$H$11,0),MATCH(B301&amp;"連線",$I$5:$K$5,0)),IF(C301&gt;=3,INDEX($I$6:$K$11,MATCH("W",$H$6:$H$11,0),MATCH(C301&amp;"連線",$I$5:$K$5,0)),0))</x:f>
        <x:v>50</x:v>
      </x:c>
      <x:c r="L301" s="22" t="n">
        <x:f>J301*K301</x:f>
        <x:v>0.001</x:v>
      </x:c>
      <x:c r="M301" s="18" t="str">
        <x:f>IF(K301&gt;INDEX($I$6:$K$11,MATCH(A301,$H$6:$H$11,0),MATCH(B301&amp;"連線",$I$5:$K$5,0)),"取 Wild 連線較高賠率","取一般圖案連線賠率")</x:f>
        <x:v>取一般圖案連線賠率</x:v>
      </x:c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</x:row>
    <x:row r="302">
      <x:c r="A302" s="18" t="str">
        <x:v>9</x:v>
      </x:c>
      <x:c r="B302" s="18" t="n">
        <x:v>5</x:v>
      </x:c>
      <x:c r="C302" s="18" t="n">
        <x:f>IF(D302&lt;&gt;"W",0,IF(E302&lt;&gt;"W",1,IF(F302&lt;&gt;"W",2,IF(G302&lt;&gt;"W",3,IF(H302&lt;&gt;"W",4,5)))))</x:f>
        <x:v>0</x:v>
      </x:c>
      <x:c r="D302" s="18" t="str">
        <x:v>9</x:v>
      </x:c>
      <x:c r="E302" s="18" t="str">
        <x:v>W</x:v>
      </x:c>
      <x:c r="F302" s="18" t="str">
        <x:v>W</x:v>
      </x:c>
      <x:c r="G302" s="18" t="str">
        <x:v>W</x:v>
      </x:c>
      <x:c r="H302" s="18" t="str">
        <x:v>W</x:v>
      </x:c>
      <x:c r="I302" s="21" t="n">
        <x:f>PRODUCT(VLOOKUP(D302,$A$29:$F$42,2,FALSE),VLOOKUP(E302,$A$29:$F$42,3,FALSE),VLOOKUP(F302,$A$29:$F$42,4,FALSE),VLOOKUP(G302,$A$29:$F$42,5,FALSE),VLOOKUP(H302,$A$29:$F$42,6,FALSE))</x:f>
        <x:v>96</x:v>
      </x:c>
      <x:c r="J302" s="22" t="n">
        <x:f>I302/$N$5</x:f>
        <x:v>0.00003</x:v>
      </x:c>
      <x:c r="K302" s="18" t="n">
        <x:f>MAX(INDEX($I$6:$K$11,MATCH(A302,$H$6:$H$11,0),MATCH(B302&amp;"連線",$I$5:$K$5,0)),IF(C302&gt;=3,INDEX($I$6:$K$11,MATCH("W",$H$6:$H$11,0),MATCH(C302&amp;"連線",$I$5:$K$5,0)),0))</x:f>
        <x:v>50</x:v>
      </x:c>
      <x:c r="L302" s="22" t="n">
        <x:f>J302*K302</x:f>
        <x:v>0.0015</x:v>
      </x:c>
      <x:c r="M302" s="18" t="str">
        <x:f>IF(K302&gt;INDEX($I$6:$K$11,MATCH(A302,$H$6:$H$11,0),MATCH(B302&amp;"連線",$I$5:$K$5,0)),"取 Wild 連線較高賠率","取一般圖案連線賠率")</x:f>
        <x:v>取一般圖案連線賠率</x:v>
      </x:c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</x:row>
    <x:row r="303">
      <x:c r="A303" s="18" t="str">
        <x:v>9</x:v>
      </x:c>
      <x:c r="B303" s="18" t="n">
        <x:v>4</x:v>
      </x:c>
      <x:c r="C303" s="18" t="n">
        <x:f>IF(D303&lt;&gt;"W",0,IF(E303&lt;&gt;"W",1,IF(F303&lt;&gt;"W",2,IF(G303&lt;&gt;"W",3,IF(H303&lt;&gt;"W",4,5)))))</x:f>
        <x:v>1</x:v>
      </x:c>
      <x:c r="D303" s="18" t="str">
        <x:v>W</x:v>
      </x:c>
      <x:c r="E303" s="18" t="str">
        <x:v>9</x:v>
      </x:c>
      <x:c r="F303" s="18" t="str">
        <x:v>9</x:v>
      </x:c>
      <x:c r="G303" s="18" t="str">
        <x:v>9</x:v>
      </x:c>
      <x:c r="H303" s="18" t="str">
        <x:v>X_W9</x:v>
      </x:c>
      <x:c r="I303" s="21" t="n">
        <x:f>PRODUCT(VLOOKUP(D303,$A$29:$F$42,2,FALSE),VLOOKUP(E303,$A$29:$F$42,3,FALSE),VLOOKUP(F303,$A$29:$F$42,4,FALSE),VLOOKUP(G303,$A$29:$F$42,5,FALSE),VLOOKUP(H303,$A$29:$F$42,6,FALSE))</x:f>
        <x:v>1792</x:v>
      </x:c>
      <x:c r="J303" s="22" t="n">
        <x:f>I303/$N$5</x:f>
        <x:v>0.00056</x:v>
      </x:c>
      <x:c r="K303" s="18" t="n">
        <x:f>MAX(INDEX($I$6:$K$11,MATCH(A303,$H$6:$H$11,0),MATCH(B303&amp;"連線",$I$5:$K$5,0)),IF(C303&gt;=3,INDEX($I$6:$K$11,MATCH("W",$H$6:$H$11,0),MATCH(C303&amp;"連線",$I$5:$K$5,0)),0))</x:f>
        <x:v>10</x:v>
      </x:c>
      <x:c r="L303" s="22" t="n">
        <x:f>J303*K303</x:f>
        <x:v>0.005599999999999999</x:v>
      </x:c>
      <x:c r="M303" s="18" t="str">
        <x:f>IF(K303&gt;INDEX($I$6:$K$11,MATCH(A303,$H$6:$H$11,0),MATCH(B303&amp;"連線",$I$5:$K$5,0)),"取 Wild 連線較高賠率","取一般圖案連線賠率")</x:f>
        <x:v>取一般圖案連線賠率</x:v>
      </x:c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</x:row>
    <x:row r="304">
      <x:c r="A304" s="18" t="str">
        <x:v>9</x:v>
      </x:c>
      <x:c r="B304" s="18" t="n">
        <x:v>4</x:v>
      </x:c>
      <x:c r="C304" s="18" t="n">
        <x:f>IF(D304&lt;&gt;"W",0,IF(E304&lt;&gt;"W",1,IF(F304&lt;&gt;"W",2,IF(G304&lt;&gt;"W",3,IF(H304&lt;&gt;"W",4,5)))))</x:f>
        <x:v>0</x:v>
      </x:c>
      <x:c r="D304" s="18" t="str">
        <x:v>9</x:v>
      </x:c>
      <x:c r="E304" s="18" t="str">
        <x:v>W</x:v>
      </x:c>
      <x:c r="F304" s="18" t="str">
        <x:v>9</x:v>
      </x:c>
      <x:c r="G304" s="18" t="str">
        <x:v>9</x:v>
      </x:c>
      <x:c r="H304" s="18" t="str">
        <x:v>X_W9</x:v>
      </x:c>
      <x:c r="I304" s="21" t="n">
        <x:f>PRODUCT(VLOOKUP(D304,$A$29:$F$42,2,FALSE),VLOOKUP(E304,$A$29:$F$42,3,FALSE),VLOOKUP(F304,$A$29:$F$42,4,FALSE),VLOOKUP(G304,$A$29:$F$42,5,FALSE),VLOOKUP(H304,$A$29:$F$42,6,FALSE))</x:f>
        <x:v>2688</x:v>
      </x:c>
      <x:c r="J304" s="22" t="n">
        <x:f>I304/$N$5</x:f>
        <x:v>0.00084</x:v>
      </x:c>
      <x:c r="K304" s="18" t="n">
        <x:f>MAX(INDEX($I$6:$K$11,MATCH(A304,$H$6:$H$11,0),MATCH(B304&amp;"連線",$I$5:$K$5,0)),IF(C304&gt;=3,INDEX($I$6:$K$11,MATCH("W",$H$6:$H$11,0),MATCH(C304&amp;"連線",$I$5:$K$5,0)),0))</x:f>
        <x:v>10</x:v>
      </x:c>
      <x:c r="L304" s="22" t="n">
        <x:f>J304*K304</x:f>
        <x:v>0.008400000000000001</x:v>
      </x:c>
      <x:c r="M304" s="18" t="str">
        <x:f>IF(K304&gt;INDEX($I$6:$K$11,MATCH(A304,$H$6:$H$11,0),MATCH(B304&amp;"連線",$I$5:$K$5,0)),"取 Wild 連線較高賠率","取一般圖案連線賠率")</x:f>
        <x:v>取一般圖案連線賠率</x:v>
      </x:c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</x:row>
    <x:row r="305">
      <x:c r="A305" s="18" t="str">
        <x:v>9</x:v>
      </x:c>
      <x:c r="B305" s="18" t="n">
        <x:v>4</x:v>
      </x:c>
      <x:c r="C305" s="18" t="n">
        <x:f>IF(D305&lt;&gt;"W",0,IF(E305&lt;&gt;"W",1,IF(F305&lt;&gt;"W",2,IF(G305&lt;&gt;"W",3,IF(H305&lt;&gt;"W",4,5)))))</x:f>
        <x:v>0</x:v>
      </x:c>
      <x:c r="D305" s="18" t="str">
        <x:v>9</x:v>
      </x:c>
      <x:c r="E305" s="18" t="str">
        <x:v>9</x:v>
      </x:c>
      <x:c r="F305" s="18" t="str">
        <x:v>W</x:v>
      </x:c>
      <x:c r="G305" s="18" t="str">
        <x:v>9</x:v>
      </x:c>
      <x:c r="H305" s="18" t="str">
        <x:v>X_W9</x:v>
      </x:c>
      <x:c r="I305" s="21" t="n">
        <x:f>PRODUCT(VLOOKUP(D305,$A$29:$F$42,2,FALSE),VLOOKUP(E305,$A$29:$F$42,3,FALSE),VLOOKUP(F305,$A$29:$F$42,4,FALSE),VLOOKUP(G305,$A$29:$F$42,5,FALSE),VLOOKUP(H305,$A$29:$F$42,6,FALSE))</x:f>
        <x:v>2688</x:v>
      </x:c>
      <x:c r="J305" s="22" t="n">
        <x:f>I305/$N$5</x:f>
        <x:v>0.00084</x:v>
      </x:c>
      <x:c r="K305" s="18" t="n">
        <x:f>MAX(INDEX($I$6:$K$11,MATCH(A305,$H$6:$H$11,0),MATCH(B305&amp;"連線",$I$5:$K$5,0)),IF(C305&gt;=3,INDEX($I$6:$K$11,MATCH("W",$H$6:$H$11,0),MATCH(C305&amp;"連線",$I$5:$K$5,0)),0))</x:f>
        <x:v>10</x:v>
      </x:c>
      <x:c r="L305" s="22" t="n">
        <x:f>J305*K305</x:f>
        <x:v>0.008400000000000001</x:v>
      </x:c>
      <x:c r="M305" s="18" t="str">
        <x:f>IF(K305&gt;INDEX($I$6:$K$11,MATCH(A305,$H$6:$H$11,0),MATCH(B305&amp;"連線",$I$5:$K$5,0)),"取 Wild 連線較高賠率","取一般圖案連線賠率")</x:f>
        <x:v>取一般圖案連線賠率</x:v>
      </x:c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</x:row>
    <x:row r="306">
      <x:c r="A306" s="18" t="str">
        <x:v>9</x:v>
      </x:c>
      <x:c r="B306" s="18" t="n">
        <x:v>4</x:v>
      </x:c>
      <x:c r="C306" s="18" t="n">
        <x:f>IF(D306&lt;&gt;"W",0,IF(E306&lt;&gt;"W",1,IF(F306&lt;&gt;"W",2,IF(G306&lt;&gt;"W",3,IF(H306&lt;&gt;"W",4,5)))))</x:f>
        <x:v>0</x:v>
      </x:c>
      <x:c r="D306" s="18" t="str">
        <x:v>9</x:v>
      </x:c>
      <x:c r="E306" s="18" t="str">
        <x:v>9</x:v>
      </x:c>
      <x:c r="F306" s="18" t="str">
        <x:v>9</x:v>
      </x:c>
      <x:c r="G306" s="18" t="str">
        <x:v>W</x:v>
      </x:c>
      <x:c r="H306" s="18" t="str">
        <x:v>X_W9</x:v>
      </x:c>
      <x:c r="I306" s="21" t="n">
        <x:f>PRODUCT(VLOOKUP(D306,$A$29:$F$42,2,FALSE),VLOOKUP(E306,$A$29:$F$42,3,FALSE),VLOOKUP(F306,$A$29:$F$42,4,FALSE),VLOOKUP(G306,$A$29:$F$42,5,FALSE),VLOOKUP(H306,$A$29:$F$42,6,FALSE))</x:f>
        <x:v>2688</x:v>
      </x:c>
      <x:c r="J306" s="22" t="n">
        <x:f>I306/$N$5</x:f>
        <x:v>0.00084</x:v>
      </x:c>
      <x:c r="K306" s="18" t="n">
        <x:f>MAX(INDEX($I$6:$K$11,MATCH(A306,$H$6:$H$11,0),MATCH(B306&amp;"連線",$I$5:$K$5,0)),IF(C306&gt;=3,INDEX($I$6:$K$11,MATCH("W",$H$6:$H$11,0),MATCH(C306&amp;"連線",$I$5:$K$5,0)),0))</x:f>
        <x:v>10</x:v>
      </x:c>
      <x:c r="L306" s="22" t="n">
        <x:f>J306*K306</x:f>
        <x:v>0.008400000000000001</x:v>
      </x:c>
      <x:c r="M306" s="18" t="str">
        <x:f>IF(K306&gt;INDEX($I$6:$K$11,MATCH(A306,$H$6:$H$11,0),MATCH(B306&amp;"連線",$I$5:$K$5,0)),"取 Wild 連線較高賠率","取一般圖案連線賠率")</x:f>
        <x:v>取一般圖案連線賠率</x:v>
      </x:c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>
      <x:c r="A307" s="18" t="str">
        <x:v>9</x:v>
      </x:c>
      <x:c r="B307" s="18" t="n">
        <x:v>4</x:v>
      </x:c>
      <x:c r="C307" s="18" t="n">
        <x:f>IF(D307&lt;&gt;"W",0,IF(E307&lt;&gt;"W",1,IF(F307&lt;&gt;"W",2,IF(G307&lt;&gt;"W",3,IF(H307&lt;&gt;"W",4,5)))))</x:f>
        <x:v>2</x:v>
      </x:c>
      <x:c r="D307" s="18" t="str">
        <x:v>W</x:v>
      </x:c>
      <x:c r="E307" s="18" t="str">
        <x:v>W</x:v>
      </x:c>
      <x:c r="F307" s="18" t="str">
        <x:v>9</x:v>
      </x:c>
      <x:c r="G307" s="18" t="str">
        <x:v>9</x:v>
      </x:c>
      <x:c r="H307" s="18" t="str">
        <x:v>X_W9</x:v>
      </x:c>
      <x:c r="I307" s="21" t="n">
        <x:f>PRODUCT(VLOOKUP(D307,$A$29:$F$42,2,FALSE),VLOOKUP(E307,$A$29:$F$42,3,FALSE),VLOOKUP(F307,$A$29:$F$42,4,FALSE),VLOOKUP(G307,$A$29:$F$42,5,FALSE),VLOOKUP(H307,$A$29:$F$42,6,FALSE))</x:f>
        <x:v>896</x:v>
      </x:c>
      <x:c r="J307" s="22" t="n">
        <x:f>I307/$N$5</x:f>
        <x:v>0.00028</x:v>
      </x:c>
      <x:c r="K307" s="18" t="n">
        <x:f>MAX(INDEX($I$6:$K$11,MATCH(A307,$H$6:$H$11,0),MATCH(B307&amp;"連線",$I$5:$K$5,0)),IF(C307&gt;=3,INDEX($I$6:$K$11,MATCH("W",$H$6:$H$11,0),MATCH(C307&amp;"連線",$I$5:$K$5,0)),0))</x:f>
        <x:v>10</x:v>
      </x:c>
      <x:c r="L307" s="22" t="n">
        <x:f>J307*K307</x:f>
        <x:v>0.0027999999999999995</x:v>
      </x:c>
      <x:c r="M307" s="18" t="str">
        <x:f>IF(K307&gt;INDEX($I$6:$K$11,MATCH(A307,$H$6:$H$11,0),MATCH(B307&amp;"連線",$I$5:$K$5,0)),"取 Wild 連線較高賠率","取一般圖案連線賠率")</x:f>
        <x:v>取一般圖案連線賠率</x:v>
      </x:c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</x:row>
    <x:row r="308">
      <x:c r="A308" s="18" t="str">
        <x:v>9</x:v>
      </x:c>
      <x:c r="B308" s="18" t="n">
        <x:v>4</x:v>
      </x:c>
      <x:c r="C308" s="18" t="n">
        <x:f>IF(D308&lt;&gt;"W",0,IF(E308&lt;&gt;"W",1,IF(F308&lt;&gt;"W",2,IF(G308&lt;&gt;"W",3,IF(H308&lt;&gt;"W",4,5)))))</x:f>
        <x:v>1</x:v>
      </x:c>
      <x:c r="D308" s="18" t="str">
        <x:v>W</x:v>
      </x:c>
      <x:c r="E308" s="18" t="str">
        <x:v>9</x:v>
      </x:c>
      <x:c r="F308" s="18" t="str">
        <x:v>W</x:v>
      </x:c>
      <x:c r="G308" s="18" t="str">
        <x:v>9</x:v>
      </x:c>
      <x:c r="H308" s="18" t="str">
        <x:v>X_W9</x:v>
      </x:c>
      <x:c r="I308" s="21" t="n">
        <x:f>PRODUCT(VLOOKUP(D308,$A$29:$F$42,2,FALSE),VLOOKUP(E308,$A$29:$F$42,3,FALSE),VLOOKUP(F308,$A$29:$F$42,4,FALSE),VLOOKUP(G308,$A$29:$F$42,5,FALSE),VLOOKUP(H308,$A$29:$F$42,6,FALSE))</x:f>
        <x:v>896</x:v>
      </x:c>
      <x:c r="J308" s="22" t="n">
        <x:f>I308/$N$5</x:f>
        <x:v>0.00028</x:v>
      </x:c>
      <x:c r="K308" s="18" t="n">
        <x:f>MAX(INDEX($I$6:$K$11,MATCH(A308,$H$6:$H$11,0),MATCH(B308&amp;"連線",$I$5:$K$5,0)),IF(C308&gt;=3,INDEX($I$6:$K$11,MATCH("W",$H$6:$H$11,0),MATCH(C308&amp;"連線",$I$5:$K$5,0)),0))</x:f>
        <x:v>10</x:v>
      </x:c>
      <x:c r="L308" s="22" t="n">
        <x:f>J308*K308</x:f>
        <x:v>0.0027999999999999995</x:v>
      </x:c>
      <x:c r="M308" s="18" t="str">
        <x:f>IF(K308&gt;INDEX($I$6:$K$11,MATCH(A308,$H$6:$H$11,0),MATCH(B308&amp;"連線",$I$5:$K$5,0)),"取 Wild 連線較高賠率","取一般圖案連線賠率")</x:f>
        <x:v>取一般圖案連線賠率</x:v>
      </x:c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</x:row>
    <x:row r="309">
      <x:c r="A309" s="18" t="str">
        <x:v>9</x:v>
      </x:c>
      <x:c r="B309" s="18" t="n">
        <x:v>4</x:v>
      </x:c>
      <x:c r="C309" s="18" t="n">
        <x:f>IF(D309&lt;&gt;"W",0,IF(E309&lt;&gt;"W",1,IF(F309&lt;&gt;"W",2,IF(G309&lt;&gt;"W",3,IF(H309&lt;&gt;"W",4,5)))))</x:f>
        <x:v>1</x:v>
      </x:c>
      <x:c r="D309" s="18" t="str">
        <x:v>W</x:v>
      </x:c>
      <x:c r="E309" s="18" t="str">
        <x:v>9</x:v>
      </x:c>
      <x:c r="F309" s="18" t="str">
        <x:v>9</x:v>
      </x:c>
      <x:c r="G309" s="18" t="str">
        <x:v>W</x:v>
      </x:c>
      <x:c r="H309" s="18" t="str">
        <x:v>X_W9</x:v>
      </x:c>
      <x:c r="I309" s="21" t="n">
        <x:f>PRODUCT(VLOOKUP(D309,$A$29:$F$42,2,FALSE),VLOOKUP(E309,$A$29:$F$42,3,FALSE),VLOOKUP(F309,$A$29:$F$42,4,FALSE),VLOOKUP(G309,$A$29:$F$42,5,FALSE),VLOOKUP(H309,$A$29:$F$42,6,FALSE))</x:f>
        <x:v>896</x:v>
      </x:c>
      <x:c r="J309" s="22" t="n">
        <x:f>I309/$N$5</x:f>
        <x:v>0.00028</x:v>
      </x:c>
      <x:c r="K309" s="18" t="n">
        <x:f>MAX(INDEX($I$6:$K$11,MATCH(A309,$H$6:$H$11,0),MATCH(B309&amp;"連線",$I$5:$K$5,0)),IF(C309&gt;=3,INDEX($I$6:$K$11,MATCH("W",$H$6:$H$11,0),MATCH(C309&amp;"連線",$I$5:$K$5,0)),0))</x:f>
        <x:v>10</x:v>
      </x:c>
      <x:c r="L309" s="22" t="n">
        <x:f>J309*K309</x:f>
        <x:v>0.0027999999999999995</x:v>
      </x:c>
      <x:c r="M309" s="18" t="str">
        <x:f>IF(K309&gt;INDEX($I$6:$K$11,MATCH(A309,$H$6:$H$11,0),MATCH(B309&amp;"連線",$I$5:$K$5,0)),"取 Wild 連線較高賠率","取一般圖案連線賠率")</x:f>
        <x:v>取一般圖案連線賠率</x:v>
      </x:c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</x:row>
    <x:row r="310">
      <x:c r="A310" s="18" t="str">
        <x:v>9</x:v>
      </x:c>
      <x:c r="B310" s="18" t="n">
        <x:v>4</x:v>
      </x:c>
      <x:c r="C310" s="18" t="n">
        <x:f>IF(D310&lt;&gt;"W",0,IF(E310&lt;&gt;"W",1,IF(F310&lt;&gt;"W",2,IF(G310&lt;&gt;"W",3,IF(H310&lt;&gt;"W",4,5)))))</x:f>
        <x:v>0</x:v>
      </x:c>
      <x:c r="D310" s="18" t="str">
        <x:v>9</x:v>
      </x:c>
      <x:c r="E310" s="18" t="str">
        <x:v>W</x:v>
      </x:c>
      <x:c r="F310" s="18" t="str">
        <x:v>W</x:v>
      </x:c>
      <x:c r="G310" s="18" t="str">
        <x:v>9</x:v>
      </x:c>
      <x:c r="H310" s="18" t="str">
        <x:v>X_W9</x:v>
      </x:c>
      <x:c r="I310" s="21" t="n">
        <x:f>PRODUCT(VLOOKUP(D310,$A$29:$F$42,2,FALSE),VLOOKUP(E310,$A$29:$F$42,3,FALSE),VLOOKUP(F310,$A$29:$F$42,4,FALSE),VLOOKUP(G310,$A$29:$F$42,5,FALSE),VLOOKUP(H310,$A$29:$F$42,6,FALSE))</x:f>
        <x:v>1344</x:v>
      </x:c>
      <x:c r="J310" s="22" t="n">
        <x:f>I310/$N$5</x:f>
        <x:v>0.00042</x:v>
      </x:c>
      <x:c r="K310" s="18" t="n">
        <x:f>MAX(INDEX($I$6:$K$11,MATCH(A310,$H$6:$H$11,0),MATCH(B310&amp;"連線",$I$5:$K$5,0)),IF(C310&gt;=3,INDEX($I$6:$K$11,MATCH("W",$H$6:$H$11,0),MATCH(C310&amp;"連線",$I$5:$K$5,0)),0))</x:f>
        <x:v>10</x:v>
      </x:c>
      <x:c r="L310" s="22" t="n">
        <x:f>J310*K310</x:f>
        <x:v>0.004200000000000001</x:v>
      </x:c>
      <x:c r="M310" s="18" t="str">
        <x:f>IF(K310&gt;INDEX($I$6:$K$11,MATCH(A310,$H$6:$H$11,0),MATCH(B310&amp;"連線",$I$5:$K$5,0)),"取 Wild 連線較高賠率","取一般圖案連線賠率")</x:f>
        <x:v>取一般圖案連線賠率</x:v>
      </x:c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</x:row>
    <x:row r="311">
      <x:c r="A311" s="18" t="str">
        <x:v>9</x:v>
      </x:c>
      <x:c r="B311" s="18" t="n">
        <x:v>4</x:v>
      </x:c>
      <x:c r="C311" s="18" t="n">
        <x:f>IF(D311&lt;&gt;"W",0,IF(E311&lt;&gt;"W",1,IF(F311&lt;&gt;"W",2,IF(G311&lt;&gt;"W",3,IF(H311&lt;&gt;"W",4,5)))))</x:f>
        <x:v>0</x:v>
      </x:c>
      <x:c r="D311" s="18" t="str">
        <x:v>9</x:v>
      </x:c>
      <x:c r="E311" s="18" t="str">
        <x:v>W</x:v>
      </x:c>
      <x:c r="F311" s="18" t="str">
        <x:v>9</x:v>
      </x:c>
      <x:c r="G311" s="18" t="str">
        <x:v>W</x:v>
      </x:c>
      <x:c r="H311" s="18" t="str">
        <x:v>X_W9</x:v>
      </x:c>
      <x:c r="I311" s="21" t="n">
        <x:f>PRODUCT(VLOOKUP(D311,$A$29:$F$42,2,FALSE),VLOOKUP(E311,$A$29:$F$42,3,FALSE),VLOOKUP(F311,$A$29:$F$42,4,FALSE),VLOOKUP(G311,$A$29:$F$42,5,FALSE),VLOOKUP(H311,$A$29:$F$42,6,FALSE))</x:f>
        <x:v>1344</x:v>
      </x:c>
      <x:c r="J311" s="22" t="n">
        <x:f>I311/$N$5</x:f>
        <x:v>0.00042</x:v>
      </x:c>
      <x:c r="K311" s="18" t="n">
        <x:f>MAX(INDEX($I$6:$K$11,MATCH(A311,$H$6:$H$11,0),MATCH(B311&amp;"連線",$I$5:$K$5,0)),IF(C311&gt;=3,INDEX($I$6:$K$11,MATCH("W",$H$6:$H$11,0),MATCH(C311&amp;"連線",$I$5:$K$5,0)),0))</x:f>
        <x:v>10</x:v>
      </x:c>
      <x:c r="L311" s="22" t="n">
        <x:f>J311*K311</x:f>
        <x:v>0.004200000000000001</x:v>
      </x:c>
      <x:c r="M311" s="18" t="str">
        <x:f>IF(K311&gt;INDEX($I$6:$K$11,MATCH(A311,$H$6:$H$11,0),MATCH(B311&amp;"連線",$I$5:$K$5,0)),"取 Wild 連線較高賠率","取一般圖案連線賠率")</x:f>
        <x:v>取一般圖案連線賠率</x:v>
      </x:c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</x:row>
    <x:row r="312">
      <x:c r="A312" s="18" t="str">
        <x:v>9</x:v>
      </x:c>
      <x:c r="B312" s="18" t="n">
        <x:v>4</x:v>
      </x:c>
      <x:c r="C312" s="18" t="n">
        <x:f>IF(D312&lt;&gt;"W",0,IF(E312&lt;&gt;"W",1,IF(F312&lt;&gt;"W",2,IF(G312&lt;&gt;"W",3,IF(H312&lt;&gt;"W",4,5)))))</x:f>
        <x:v>0</x:v>
      </x:c>
      <x:c r="D312" s="18" t="str">
        <x:v>9</x:v>
      </x:c>
      <x:c r="E312" s="18" t="str">
        <x:v>9</x:v>
      </x:c>
      <x:c r="F312" s="18" t="str">
        <x:v>W</x:v>
      </x:c>
      <x:c r="G312" s="18" t="str">
        <x:v>W</x:v>
      </x:c>
      <x:c r="H312" s="18" t="str">
        <x:v>X_W9</x:v>
      </x:c>
      <x:c r="I312" s="21" t="n">
        <x:f>PRODUCT(VLOOKUP(D312,$A$29:$F$42,2,FALSE),VLOOKUP(E312,$A$29:$F$42,3,FALSE),VLOOKUP(F312,$A$29:$F$42,4,FALSE),VLOOKUP(G312,$A$29:$F$42,5,FALSE),VLOOKUP(H312,$A$29:$F$42,6,FALSE))</x:f>
        <x:v>1344</x:v>
      </x:c>
      <x:c r="J312" s="22" t="n">
        <x:f>I312/$N$5</x:f>
        <x:v>0.00042</x:v>
      </x:c>
      <x:c r="K312" s="18" t="n">
        <x:f>MAX(INDEX($I$6:$K$11,MATCH(A312,$H$6:$H$11,0),MATCH(B312&amp;"連線",$I$5:$K$5,0)),IF(C312&gt;=3,INDEX($I$6:$K$11,MATCH("W",$H$6:$H$11,0),MATCH(C312&amp;"連線",$I$5:$K$5,0)),0))</x:f>
        <x:v>10</x:v>
      </x:c>
      <x:c r="L312" s="22" t="n">
        <x:f>J312*K312</x:f>
        <x:v>0.004200000000000001</x:v>
      </x:c>
      <x:c r="M312" s="18" t="str">
        <x:f>IF(K312&gt;INDEX($I$6:$K$11,MATCH(A312,$H$6:$H$11,0),MATCH(B312&amp;"連線",$I$5:$K$5,0)),"取 Wild 連線較高賠率","取一般圖案連線賠率")</x:f>
        <x:v>取一般圖案連線賠率</x:v>
      </x:c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</x:row>
    <x:row r="313">
      <x:c r="A313" s="18" t="str">
        <x:v>9</x:v>
      </x:c>
      <x:c r="B313" s="18" t="n">
        <x:v>4</x:v>
      </x:c>
      <x:c r="C313" s="18" t="n">
        <x:f>IF(D313&lt;&gt;"W",0,IF(E313&lt;&gt;"W",1,IF(F313&lt;&gt;"W",2,IF(G313&lt;&gt;"W",3,IF(H313&lt;&gt;"W",4,5)))))</x:f>
        <x:v>3</x:v>
      </x:c>
      <x:c r="D313" s="18" t="str">
        <x:v>W</x:v>
      </x:c>
      <x:c r="E313" s="18" t="str">
        <x:v>W</x:v>
      </x:c>
      <x:c r="F313" s="18" t="str">
        <x:v>W</x:v>
      </x:c>
      <x:c r="G313" s="18" t="str">
        <x:v>9</x:v>
      </x:c>
      <x:c r="H313" s="18" t="str">
        <x:v>X_W9</x:v>
      </x:c>
      <x:c r="I313" s="21" t="n">
        <x:f>PRODUCT(VLOOKUP(D313,$A$29:$F$42,2,FALSE),VLOOKUP(E313,$A$29:$F$42,3,FALSE),VLOOKUP(F313,$A$29:$F$42,4,FALSE),VLOOKUP(G313,$A$29:$F$42,5,FALSE),VLOOKUP(H313,$A$29:$F$42,6,FALSE))</x:f>
        <x:v>448</x:v>
      </x:c>
      <x:c r="J313" s="22" t="n">
        <x:f>I313/$N$5</x:f>
        <x:v>0.00014</x:v>
      </x:c>
      <x:c r="K313" s="18" t="n">
        <x:f>MAX(INDEX($I$6:$K$11,MATCH(A313,$H$6:$H$11,0),MATCH(B313&amp;"連線",$I$5:$K$5,0)),IF(C313&gt;=3,INDEX($I$6:$K$11,MATCH("W",$H$6:$H$11,0),MATCH(C313&amp;"連線",$I$5:$K$5,0)),0))</x:f>
        <x:v>150</x:v>
      </x:c>
      <x:c r="L313" s="22" t="n">
        <x:f>J313*K313</x:f>
        <x:v>0.020999999999999998</x:v>
      </x:c>
      <x:c r="M313" s="18" t="str">
        <x:f>IF(K313&gt;INDEX($I$6:$K$11,MATCH(A313,$H$6:$H$11,0),MATCH(B313&amp;"連線",$I$5:$K$5,0)),"取 Wild 連線較高賠率","取一般圖案連線賠率")</x:f>
        <x:v>取 Wild 連線較高賠率</x:v>
      </x:c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</x:row>
    <x:row r="314">
      <x:c r="A314" s="18" t="str">
        <x:v>9</x:v>
      </x:c>
      <x:c r="B314" s="18" t="n">
        <x:v>4</x:v>
      </x:c>
      <x:c r="C314" s="18" t="n">
        <x:f>IF(D314&lt;&gt;"W",0,IF(E314&lt;&gt;"W",1,IF(F314&lt;&gt;"W",2,IF(G314&lt;&gt;"W",3,IF(H314&lt;&gt;"W",4,5)))))</x:f>
        <x:v>2</x:v>
      </x:c>
      <x:c r="D314" s="18" t="str">
        <x:v>W</x:v>
      </x:c>
      <x:c r="E314" s="18" t="str">
        <x:v>W</x:v>
      </x:c>
      <x:c r="F314" s="18" t="str">
        <x:v>9</x:v>
      </x:c>
      <x:c r="G314" s="18" t="str">
        <x:v>W</x:v>
      </x:c>
      <x:c r="H314" s="18" t="str">
        <x:v>X_W9</x:v>
      </x:c>
      <x:c r="I314" s="21" t="n">
        <x:f>PRODUCT(VLOOKUP(D314,$A$29:$F$42,2,FALSE),VLOOKUP(E314,$A$29:$F$42,3,FALSE),VLOOKUP(F314,$A$29:$F$42,4,FALSE),VLOOKUP(G314,$A$29:$F$42,5,FALSE),VLOOKUP(H314,$A$29:$F$42,6,FALSE))</x:f>
        <x:v>448</x:v>
      </x:c>
      <x:c r="J314" s="22" t="n">
        <x:f>I314/$N$5</x:f>
        <x:v>0.00014</x:v>
      </x:c>
      <x:c r="K314" s="18" t="n">
        <x:f>MAX(INDEX($I$6:$K$11,MATCH(A314,$H$6:$H$11,0),MATCH(B314&amp;"連線",$I$5:$K$5,0)),IF(C314&gt;=3,INDEX($I$6:$K$11,MATCH("W",$H$6:$H$11,0),MATCH(C314&amp;"連線",$I$5:$K$5,0)),0))</x:f>
        <x:v>10</x:v>
      </x:c>
      <x:c r="L314" s="22" t="n">
        <x:f>J314*K314</x:f>
        <x:v>0.0013999999999999998</x:v>
      </x:c>
      <x:c r="M314" s="18" t="str">
        <x:f>IF(K314&gt;INDEX($I$6:$K$11,MATCH(A314,$H$6:$H$11,0),MATCH(B314&amp;"連線",$I$5:$K$5,0)),"取 Wild 連線較高賠率","取一般圖案連線賠率")</x:f>
        <x:v>取一般圖案連線賠率</x:v>
      </x:c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</x:row>
    <x:row r="315">
      <x:c r="A315" s="18" t="str">
        <x:v>9</x:v>
      </x:c>
      <x:c r="B315" s="18" t="n">
        <x:v>4</x:v>
      </x:c>
      <x:c r="C315" s="18" t="n">
        <x:f>IF(D315&lt;&gt;"W",0,IF(E315&lt;&gt;"W",1,IF(F315&lt;&gt;"W",2,IF(G315&lt;&gt;"W",3,IF(H315&lt;&gt;"W",4,5)))))</x:f>
        <x:v>1</x:v>
      </x:c>
      <x:c r="D315" s="18" t="str">
        <x:v>W</x:v>
      </x:c>
      <x:c r="E315" s="18" t="str">
        <x:v>9</x:v>
      </x:c>
      <x:c r="F315" s="18" t="str">
        <x:v>W</x:v>
      </x:c>
      <x:c r="G315" s="18" t="str">
        <x:v>W</x:v>
      </x:c>
      <x:c r="H315" s="18" t="str">
        <x:v>X_W9</x:v>
      </x:c>
      <x:c r="I315" s="21" t="n">
        <x:f>PRODUCT(VLOOKUP(D315,$A$29:$F$42,2,FALSE),VLOOKUP(E315,$A$29:$F$42,3,FALSE),VLOOKUP(F315,$A$29:$F$42,4,FALSE),VLOOKUP(G315,$A$29:$F$42,5,FALSE),VLOOKUP(H315,$A$29:$F$42,6,FALSE))</x:f>
        <x:v>448</x:v>
      </x:c>
      <x:c r="J315" s="22" t="n">
        <x:f>I315/$N$5</x:f>
        <x:v>0.00014</x:v>
      </x:c>
      <x:c r="K315" s="18" t="n">
        <x:f>MAX(INDEX($I$6:$K$11,MATCH(A315,$H$6:$H$11,0),MATCH(B315&amp;"連線",$I$5:$K$5,0)),IF(C315&gt;=3,INDEX($I$6:$K$11,MATCH("W",$H$6:$H$11,0),MATCH(C315&amp;"連線",$I$5:$K$5,0)),0))</x:f>
        <x:v>10</x:v>
      </x:c>
      <x:c r="L315" s="22" t="n">
        <x:f>J315*K315</x:f>
        <x:v>0.0013999999999999998</x:v>
      </x:c>
      <x:c r="M315" s="18" t="str">
        <x:f>IF(K315&gt;INDEX($I$6:$K$11,MATCH(A315,$H$6:$H$11,0),MATCH(B315&amp;"連線",$I$5:$K$5,0)),"取 Wild 連線較高賠率","取一般圖案連線賠率")</x:f>
        <x:v>取一般圖案連線賠率</x:v>
      </x:c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</x:row>
    <x:row r="316">
      <x:c r="A316" s="18" t="str">
        <x:v>9</x:v>
      </x:c>
      <x:c r="B316" s="18" t="n">
        <x:v>4</x:v>
      </x:c>
      <x:c r="C316" s="18" t="n">
        <x:f>IF(D316&lt;&gt;"W",0,IF(E316&lt;&gt;"W",1,IF(F316&lt;&gt;"W",2,IF(G316&lt;&gt;"W",3,IF(H316&lt;&gt;"W",4,5)))))</x:f>
        <x:v>0</x:v>
      </x:c>
      <x:c r="D316" s="18" t="str">
        <x:v>9</x:v>
      </x:c>
      <x:c r="E316" s="18" t="str">
        <x:v>W</x:v>
      </x:c>
      <x:c r="F316" s="18" t="str">
        <x:v>W</x:v>
      </x:c>
      <x:c r="G316" s="18" t="str">
        <x:v>W</x:v>
      </x:c>
      <x:c r="H316" s="18" t="str">
        <x:v>X_W9</x:v>
      </x:c>
      <x:c r="I316" s="21" t="n">
        <x:f>PRODUCT(VLOOKUP(D316,$A$29:$F$42,2,FALSE),VLOOKUP(E316,$A$29:$F$42,3,FALSE),VLOOKUP(F316,$A$29:$F$42,4,FALSE),VLOOKUP(G316,$A$29:$F$42,5,FALSE),VLOOKUP(H316,$A$29:$F$42,6,FALSE))</x:f>
        <x:v>672</x:v>
      </x:c>
      <x:c r="J316" s="22" t="n">
        <x:f>I316/$N$5</x:f>
        <x:v>0.00021</x:v>
      </x:c>
      <x:c r="K316" s="18" t="n">
        <x:f>MAX(INDEX($I$6:$K$11,MATCH(A316,$H$6:$H$11,0),MATCH(B316&amp;"連線",$I$5:$K$5,0)),IF(C316&gt;=3,INDEX($I$6:$K$11,MATCH("W",$H$6:$H$11,0),MATCH(C316&amp;"連線",$I$5:$K$5,0)),0))</x:f>
        <x:v>10</x:v>
      </x:c>
      <x:c r="L316" s="22" t="n">
        <x:f>J316*K316</x:f>
        <x:v>0.0021000000000000003</x:v>
      </x:c>
      <x:c r="M316" s="18" t="str">
        <x:f>IF(K316&gt;INDEX($I$6:$K$11,MATCH(A316,$H$6:$H$11,0),MATCH(B316&amp;"連線",$I$5:$K$5,0)),"取 Wild 連線較高賠率","取一般圖案連線賠率")</x:f>
        <x:v>取一般圖案連線賠率</x:v>
      </x:c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</x:row>
    <x:row r="317">
      <x:c r="A317" s="18" t="str">
        <x:v>9</x:v>
      </x:c>
      <x:c r="B317" s="18" t="n">
        <x:v>4</x:v>
      </x:c>
      <x:c r="C317" s="18" t="n">
        <x:f>IF(D317&lt;&gt;"W",0,IF(E317&lt;&gt;"W",1,IF(F317&lt;&gt;"W",2,IF(G317&lt;&gt;"W",3,IF(H317&lt;&gt;"W",4,5)))))</x:f>
        <x:v>4</x:v>
      </x:c>
      <x:c r="D317" s="18" t="str">
        <x:v>W</x:v>
      </x:c>
      <x:c r="E317" s="18" t="str">
        <x:v>W</x:v>
      </x:c>
      <x:c r="F317" s="18" t="str">
        <x:v>W</x:v>
      </x:c>
      <x:c r="G317" s="18" t="str">
        <x:v>W</x:v>
      </x:c>
      <x:c r="H317" s="18" t="str">
        <x:v>X_W9</x:v>
      </x:c>
      <x:c r="I317" s="21" t="n">
        <x:f>PRODUCT(VLOOKUP(D317,$A$29:$F$42,2,FALSE),VLOOKUP(E317,$A$29:$F$42,3,FALSE),VLOOKUP(F317,$A$29:$F$42,4,FALSE),VLOOKUP(G317,$A$29:$F$42,5,FALSE),VLOOKUP(H317,$A$29:$F$42,6,FALSE))</x:f>
        <x:v>224</x:v>
      </x:c>
      <x:c r="J317" s="22" t="n">
        <x:f>I317/$N$5</x:f>
        <x:v>0.00007</x:v>
      </x:c>
      <x:c r="K317" s="18" t="n">
        <x:f>MAX(INDEX($I$6:$K$11,MATCH(A317,$H$6:$H$11,0),MATCH(B317&amp;"連線",$I$5:$K$5,0)),IF(C317&gt;=3,INDEX($I$6:$K$11,MATCH("W",$H$6:$H$11,0),MATCH(C317&amp;"連線",$I$5:$K$5,0)),0))</x:f>
        <x:v>300</x:v>
      </x:c>
      <x:c r="L317" s="22" t="n">
        <x:f>J317*K317</x:f>
        <x:v>0.020999999999999998</x:v>
      </x:c>
      <x:c r="M317" s="18" t="str">
        <x:f>IF(K317&gt;INDEX($I$6:$K$11,MATCH(A317,$H$6:$H$11,0),MATCH(B317&amp;"連線",$I$5:$K$5,0)),"取 Wild 連線較高賠率","取一般圖案連線賠率")</x:f>
        <x:v>取 Wild 連線較高賠率</x:v>
      </x:c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</x:row>
    <x:row r="318">
      <x:c r="A318" s="18" t="str">
        <x:v>9</x:v>
      </x:c>
      <x:c r="B318" s="18" t="n">
        <x:v>3</x:v>
      </x:c>
      <x:c r="C318" s="18" t="n">
        <x:f>IF(D318&lt;&gt;"W",0,IF(E318&lt;&gt;"W",1,IF(F318&lt;&gt;"W",2,IF(G318&lt;&gt;"W",3,IF(H318&lt;&gt;"W",4,5)))))</x:f>
        <x:v>1</x:v>
      </x:c>
      <x:c r="D318" s="18" t="str">
        <x:v>W</x:v>
      </x:c>
      <x:c r="E318" s="18" t="str">
        <x:v>9</x:v>
      </x:c>
      <x:c r="F318" s="18" t="str">
        <x:v>9</x:v>
      </x:c>
      <x:c r="G318" s="18" t="str">
        <x:v>X_W9</x:v>
      </x:c>
      <x:c r="H318" s="18" t="str">
        <x:v>any</x:v>
      </x:c>
      <x:c r="I318" s="21" t="n">
        <x:f>PRODUCT(VLOOKUP(D318,$A$29:$F$42,2,FALSE),VLOOKUP(E318,$A$29:$F$42,3,FALSE),VLOOKUP(F318,$A$29:$F$42,4,FALSE),VLOOKUP(G318,$A$29:$F$42,5,FALSE),VLOOKUP(H318,$A$29:$F$42,6,FALSE))</x:f>
        <x:v>8960</x:v>
      </x:c>
      <x:c r="J318" s="22" t="n">
        <x:f>I318/$N$5</x:f>
        <x:v>0.0028</x:v>
      </x:c>
      <x:c r="K318" s="18" t="n">
        <x:f>MAX(INDEX($I$6:$K$11,MATCH(A318,$H$6:$H$11,0),MATCH(B318&amp;"連線",$I$5:$K$5,0)),IF(C318&gt;=3,INDEX($I$6:$K$11,MATCH("W",$H$6:$H$11,0),MATCH(C318&amp;"連線",$I$5:$K$5,0)),0))</x:f>
        <x:v>5</x:v>
      </x:c>
      <x:c r="L318" s="22" t="n">
        <x:f>J318*K318</x:f>
        <x:v>0.014</x:v>
      </x:c>
      <x:c r="M318" s="18" t="str">
        <x:f>IF(K318&gt;INDEX($I$6:$K$11,MATCH(A318,$H$6:$H$11,0),MATCH(B318&amp;"連線",$I$5:$K$5,0)),"取 Wild 連線較高賠率","取一般圖案連線賠率")</x:f>
        <x:v>取一般圖案連線賠率</x:v>
      </x:c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</x:row>
    <x:row r="319">
      <x:c r="A319" s="18" t="str">
        <x:v>9</x:v>
      </x:c>
      <x:c r="B319" s="18" t="n">
        <x:v>3</x:v>
      </x:c>
      <x:c r="C319" s="18" t="n">
        <x:f>IF(D319&lt;&gt;"W",0,IF(E319&lt;&gt;"W",1,IF(F319&lt;&gt;"W",2,IF(G319&lt;&gt;"W",3,IF(H319&lt;&gt;"W",4,5)))))</x:f>
        <x:v>0</x:v>
      </x:c>
      <x:c r="D319" s="18" t="str">
        <x:v>9</x:v>
      </x:c>
      <x:c r="E319" s="18" t="str">
        <x:v>W</x:v>
      </x:c>
      <x:c r="F319" s="18" t="str">
        <x:v>9</x:v>
      </x:c>
      <x:c r="G319" s="18" t="str">
        <x:v>X_W9</x:v>
      </x:c>
      <x:c r="H319" s="18" t="str">
        <x:v>any</x:v>
      </x:c>
      <x:c r="I319" s="21" t="n">
        <x:f>PRODUCT(VLOOKUP(D319,$A$29:$F$42,2,FALSE),VLOOKUP(E319,$A$29:$F$42,3,FALSE),VLOOKUP(F319,$A$29:$F$42,4,FALSE),VLOOKUP(G319,$A$29:$F$42,5,FALSE),VLOOKUP(H319,$A$29:$F$42,6,FALSE))</x:f>
        <x:v>13440</x:v>
      </x:c>
      <x:c r="J319" s="22" t="n">
        <x:f>I319/$N$5</x:f>
        <x:v>0.0042</x:v>
      </x:c>
      <x:c r="K319" s="18" t="n">
        <x:f>MAX(INDEX($I$6:$K$11,MATCH(A319,$H$6:$H$11,0),MATCH(B319&amp;"連線",$I$5:$K$5,0)),IF(C319&gt;=3,INDEX($I$6:$K$11,MATCH("W",$H$6:$H$11,0),MATCH(C319&amp;"連線",$I$5:$K$5,0)),0))</x:f>
        <x:v>5</x:v>
      </x:c>
      <x:c r="L319" s="22" t="n">
        <x:f>J319*K319</x:f>
        <x:v>0.020999999999999998</x:v>
      </x:c>
      <x:c r="M319" s="18" t="str">
        <x:f>IF(K319&gt;INDEX($I$6:$K$11,MATCH(A319,$H$6:$H$11,0),MATCH(B319&amp;"連線",$I$5:$K$5,0)),"取 Wild 連線較高賠率","取一般圖案連線賠率")</x:f>
        <x:v>取一般圖案連線賠率</x:v>
      </x:c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</x:row>
    <x:row r="320">
      <x:c r="A320" s="18" t="str">
        <x:v>9</x:v>
      </x:c>
      <x:c r="B320" s="18" t="n">
        <x:v>3</x:v>
      </x:c>
      <x:c r="C320" s="18" t="n">
        <x:f>IF(D320&lt;&gt;"W",0,IF(E320&lt;&gt;"W",1,IF(F320&lt;&gt;"W",2,IF(G320&lt;&gt;"W",3,IF(H320&lt;&gt;"W",4,5)))))</x:f>
        <x:v>0</x:v>
      </x:c>
      <x:c r="D320" s="18" t="str">
        <x:v>9</x:v>
      </x:c>
      <x:c r="E320" s="18" t="str">
        <x:v>9</x:v>
      </x:c>
      <x:c r="F320" s="18" t="str">
        <x:v>W</x:v>
      </x:c>
      <x:c r="G320" s="18" t="str">
        <x:v>X_W9</x:v>
      </x:c>
      <x:c r="H320" s="18" t="str">
        <x:v>any</x:v>
      </x:c>
      <x:c r="I320" s="21" t="n">
        <x:f>PRODUCT(VLOOKUP(D320,$A$29:$F$42,2,FALSE),VLOOKUP(E320,$A$29:$F$42,3,FALSE),VLOOKUP(F320,$A$29:$F$42,4,FALSE),VLOOKUP(G320,$A$29:$F$42,5,FALSE),VLOOKUP(H320,$A$29:$F$42,6,FALSE))</x:f>
        <x:v>13440</x:v>
      </x:c>
      <x:c r="J320" s="22" t="n">
        <x:f>I320/$N$5</x:f>
        <x:v>0.0042</x:v>
      </x:c>
      <x:c r="K320" s="18" t="n">
        <x:f>MAX(INDEX($I$6:$K$11,MATCH(A320,$H$6:$H$11,0),MATCH(B320&amp;"連線",$I$5:$K$5,0)),IF(C320&gt;=3,INDEX($I$6:$K$11,MATCH("W",$H$6:$H$11,0),MATCH(C320&amp;"連線",$I$5:$K$5,0)),0))</x:f>
        <x:v>5</x:v>
      </x:c>
      <x:c r="L320" s="22" t="n">
        <x:f>J320*K320</x:f>
        <x:v>0.020999999999999998</x:v>
      </x:c>
      <x:c r="M320" s="18" t="str">
        <x:f>IF(K320&gt;INDEX($I$6:$K$11,MATCH(A320,$H$6:$H$11,0),MATCH(B320&amp;"連線",$I$5:$K$5,0)),"取 Wild 連線較高賠率","取一般圖案連線賠率")</x:f>
        <x:v>取一般圖案連線賠率</x:v>
      </x:c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</x:row>
    <x:row r="321">
      <x:c r="A321" s="18" t="str">
        <x:v>9</x:v>
      </x:c>
      <x:c r="B321" s="18" t="n">
        <x:v>3</x:v>
      </x:c>
      <x:c r="C321" s="18" t="n">
        <x:f>IF(D321&lt;&gt;"W",0,IF(E321&lt;&gt;"W",1,IF(F321&lt;&gt;"W",2,IF(G321&lt;&gt;"W",3,IF(H321&lt;&gt;"W",4,5)))))</x:f>
        <x:v>2</x:v>
      </x:c>
      <x:c r="D321" s="18" t="str">
        <x:v>W</x:v>
      </x:c>
      <x:c r="E321" s="18" t="str">
        <x:v>W</x:v>
      </x:c>
      <x:c r="F321" s="18" t="str">
        <x:v>9</x:v>
      </x:c>
      <x:c r="G321" s="18" t="str">
        <x:v>X_W9</x:v>
      </x:c>
      <x:c r="H321" s="18" t="str">
        <x:v>any</x:v>
      </x:c>
      <x:c r="I321" s="21" t="n">
        <x:f>PRODUCT(VLOOKUP(D321,$A$29:$F$42,2,FALSE),VLOOKUP(E321,$A$29:$F$42,3,FALSE),VLOOKUP(F321,$A$29:$F$42,4,FALSE),VLOOKUP(G321,$A$29:$F$42,5,FALSE),VLOOKUP(H321,$A$29:$F$42,6,FALSE))</x:f>
        <x:v>4480</x:v>
      </x:c>
      <x:c r="J321" s="22" t="n">
        <x:f>I321/$N$5</x:f>
        <x:v>0.0014</x:v>
      </x:c>
      <x:c r="K321" s="18" t="n">
        <x:f>MAX(INDEX($I$6:$K$11,MATCH(A321,$H$6:$H$11,0),MATCH(B321&amp;"連線",$I$5:$K$5,0)),IF(C321&gt;=3,INDEX($I$6:$K$11,MATCH("W",$H$6:$H$11,0),MATCH(C321&amp;"連線",$I$5:$K$5,0)),0))</x:f>
        <x:v>5</x:v>
      </x:c>
      <x:c r="L321" s="22" t="n">
        <x:f>J321*K321</x:f>
        <x:v>0.007</x:v>
      </x:c>
      <x:c r="M321" s="18" t="str">
        <x:f>IF(K321&gt;INDEX($I$6:$K$11,MATCH(A321,$H$6:$H$11,0),MATCH(B321&amp;"連線",$I$5:$K$5,0)),"取 Wild 連線較高賠率","取一般圖案連線賠率")</x:f>
        <x:v>取一般圖案連線賠率</x:v>
      </x:c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</x:row>
    <x:row r="322">
      <x:c r="A322" s="18" t="str">
        <x:v>9</x:v>
      </x:c>
      <x:c r="B322" s="18" t="n">
        <x:v>3</x:v>
      </x:c>
      <x:c r="C322" s="18" t="n">
        <x:f>IF(D322&lt;&gt;"W",0,IF(E322&lt;&gt;"W",1,IF(F322&lt;&gt;"W",2,IF(G322&lt;&gt;"W",3,IF(H322&lt;&gt;"W",4,5)))))</x:f>
        <x:v>1</x:v>
      </x:c>
      <x:c r="D322" s="18" t="str">
        <x:v>W</x:v>
      </x:c>
      <x:c r="E322" s="18" t="str">
        <x:v>9</x:v>
      </x:c>
      <x:c r="F322" s="18" t="str">
        <x:v>W</x:v>
      </x:c>
      <x:c r="G322" s="18" t="str">
        <x:v>X_W9</x:v>
      </x:c>
      <x:c r="H322" s="18" t="str">
        <x:v>any</x:v>
      </x:c>
      <x:c r="I322" s="21" t="n">
        <x:f>PRODUCT(VLOOKUP(D322,$A$29:$F$42,2,FALSE),VLOOKUP(E322,$A$29:$F$42,3,FALSE),VLOOKUP(F322,$A$29:$F$42,4,FALSE),VLOOKUP(G322,$A$29:$F$42,5,FALSE),VLOOKUP(H322,$A$29:$F$42,6,FALSE))</x:f>
        <x:v>4480</x:v>
      </x:c>
      <x:c r="J322" s="22" t="n">
        <x:f>I322/$N$5</x:f>
        <x:v>0.0014</x:v>
      </x:c>
      <x:c r="K322" s="18" t="n">
        <x:f>MAX(INDEX($I$6:$K$11,MATCH(A322,$H$6:$H$11,0),MATCH(B322&amp;"連線",$I$5:$K$5,0)),IF(C322&gt;=3,INDEX($I$6:$K$11,MATCH("W",$H$6:$H$11,0),MATCH(C322&amp;"連線",$I$5:$K$5,0)),0))</x:f>
        <x:v>5</x:v>
      </x:c>
      <x:c r="L322" s="22" t="n">
        <x:f>J322*K322</x:f>
        <x:v>0.007</x:v>
      </x:c>
      <x:c r="M322" s="18" t="str">
        <x:f>IF(K322&gt;INDEX($I$6:$K$11,MATCH(A322,$H$6:$H$11,0),MATCH(B322&amp;"連線",$I$5:$K$5,0)),"取 Wild 連線較高賠率","取一般圖案連線賠率")</x:f>
        <x:v>取一般圖案連線賠率</x:v>
      </x:c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</x:row>
    <x:row r="323">
      <x:c r="A323" s="18" t="str">
        <x:v>9</x:v>
      </x:c>
      <x:c r="B323" s="18" t="n">
        <x:v>3</x:v>
      </x:c>
      <x:c r="C323" s="18" t="n">
        <x:f>IF(D323&lt;&gt;"W",0,IF(E323&lt;&gt;"W",1,IF(F323&lt;&gt;"W",2,IF(G323&lt;&gt;"W",3,IF(H323&lt;&gt;"W",4,5)))))</x:f>
        <x:v>0</x:v>
      </x:c>
      <x:c r="D323" s="18" t="str">
        <x:v>9</x:v>
      </x:c>
      <x:c r="E323" s="18" t="str">
        <x:v>W</x:v>
      </x:c>
      <x:c r="F323" s="18" t="str">
        <x:v>W</x:v>
      </x:c>
      <x:c r="G323" s="18" t="str">
        <x:v>X_W9</x:v>
      </x:c>
      <x:c r="H323" s="18" t="str">
        <x:v>any</x:v>
      </x:c>
      <x:c r="I323" s="21" t="n">
        <x:f>PRODUCT(VLOOKUP(D323,$A$29:$F$42,2,FALSE),VLOOKUP(E323,$A$29:$F$42,3,FALSE),VLOOKUP(F323,$A$29:$F$42,4,FALSE),VLOOKUP(G323,$A$29:$F$42,5,FALSE),VLOOKUP(H323,$A$29:$F$42,6,FALSE))</x:f>
        <x:v>6720</x:v>
      </x:c>
      <x:c r="J323" s="22" t="n">
        <x:f>I323/$N$5</x:f>
        <x:v>0.0021</x:v>
      </x:c>
      <x:c r="K323" s="18" t="n">
        <x:f>MAX(INDEX($I$6:$K$11,MATCH(A323,$H$6:$H$11,0),MATCH(B323&amp;"連線",$I$5:$K$5,0)),IF(C323&gt;=3,INDEX($I$6:$K$11,MATCH("W",$H$6:$H$11,0),MATCH(C323&amp;"連線",$I$5:$K$5,0)),0))</x:f>
        <x:v>5</x:v>
      </x:c>
      <x:c r="L323" s="22" t="n">
        <x:f>J323*K323</x:f>
        <x:v>0.010499999999999999</x:v>
      </x:c>
      <x:c r="M323" s="18" t="str">
        <x:f>IF(K323&gt;INDEX($I$6:$K$11,MATCH(A323,$H$6:$H$11,0),MATCH(B323&amp;"連線",$I$5:$K$5,0)),"取 Wild 連線較高賠率","取一般圖案連線賠率")</x:f>
        <x:v>取一般圖案連線賠率</x:v>
      </x:c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</x:row>
    <x:row r="324">
      <x:c r="A324" s="18" t="str">
        <x:v>9</x:v>
      </x:c>
      <x:c r="B324" s="18" t="n">
        <x:v>3</x:v>
      </x:c>
      <x:c r="C324" s="18" t="n">
        <x:f>IF(D324&lt;&gt;"W",0,IF(E324&lt;&gt;"W",1,IF(F324&lt;&gt;"W",2,IF(G324&lt;&gt;"W",3,IF(H324&lt;&gt;"W",4,5)))))</x:f>
        <x:v>3</x:v>
      </x:c>
      <x:c r="D324" s="18" t="str">
        <x:v>W</x:v>
      </x:c>
      <x:c r="E324" s="18" t="str">
        <x:v>W</x:v>
      </x:c>
      <x:c r="F324" s="18" t="str">
        <x:v>W</x:v>
      </x:c>
      <x:c r="G324" s="18" t="str">
        <x:v>X_W9</x:v>
      </x:c>
      <x:c r="H324" s="18" t="str">
        <x:v>any</x:v>
      </x:c>
      <x:c r="I324" s="21" t="n">
        <x:f>PRODUCT(VLOOKUP(D324,$A$29:$F$42,2,FALSE),VLOOKUP(E324,$A$29:$F$42,3,FALSE),VLOOKUP(F324,$A$29:$F$42,4,FALSE),VLOOKUP(G324,$A$29:$F$42,5,FALSE),VLOOKUP(H324,$A$29:$F$42,6,FALSE))</x:f>
        <x:v>2240</x:v>
      </x:c>
      <x:c r="J324" s="22" t="n">
        <x:f>I324/$N$5</x:f>
        <x:v>0.0007</x:v>
      </x:c>
      <x:c r="K324" s="18" t="n">
        <x:f>MAX(INDEX($I$6:$K$11,MATCH(A324,$H$6:$H$11,0),MATCH(B324&amp;"連線",$I$5:$K$5,0)),IF(C324&gt;=3,INDEX($I$6:$K$11,MATCH("W",$H$6:$H$11,0),MATCH(C324&amp;"連線",$I$5:$K$5,0)),0))</x:f>
        <x:v>150</x:v>
      </x:c>
      <x:c r="L324" s="22" t="n">
        <x:f>J324*K324</x:f>
        <x:v>0.105</x:v>
      </x:c>
      <x:c r="M324" s="18" t="str">
        <x:f>IF(K324&gt;INDEX($I$6:$K$11,MATCH(A324,$H$6:$H$11,0),MATCH(B324&amp;"連線",$I$5:$K$5,0)),"取 Wild 連線較高賠率","取一般圖案連線賠率")</x:f>
        <x:v>取 Wild 連線較高賠率</x:v>
      </x:c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</x:row>
    <x:row r="327">
      <x:c r="A327" s="10" t="str">
        <x:v>純 Wild 連線</x:v>
      </x:c>
      <x:c r="B327" s="10" t="str">
        <x:v>純 Wild 連線</x:v>
      </x:c>
      <x:c r="C327" s="10" t="str">
        <x:v>純 Wild 連線</x:v>
      </x:c>
      <x:c r="D327" s="10" t="str">
        <x:v>純 Wild 連線</x:v>
      </x:c>
      <x:c r="E327" s="10" t="str">
        <x:v>純 Wild 連線</x:v>
      </x:c>
      <x:c r="F327" s="10" t="str">
        <x:v>純 Wild 連線</x:v>
      </x:c>
      <x:c r="G327" s="10" t="str">
        <x:v>純 Wild 連線</x:v>
      </x:c>
      <x:c r="H327" s="10" t="str">
        <x:v>純 Wild 連線</x:v>
      </x:c>
      <x:c r="I327" s="10" t="str">
        <x:v>純 Wild 連線</x:v>
      </x:c>
      <x:c r="J327" s="10" t="str">
        <x:v>純 Wild 連線</x:v>
      </x:c>
      <x:c r="K327" s="10" t="str">
        <x:v>純 Wild 連線</x:v>
      </x:c>
      <x:c r="L327" s="10" t="str">
        <x:v>純 Wild 連線</x:v>
      </x:c>
    </x:row>
    <x:row r="328">
      <x:c r="A328" s="16" t="str">
        <x:v>圖案</x:v>
      </x:c>
      <x:c r="B328" s="16" t="str">
        <x:v>連線數</x:v>
      </x:c>
      <x:c r="C328" s="16" t="str">
        <x:v>轉輪1</x:v>
      </x:c>
      <x:c r="D328" s="16" t="str">
        <x:v>轉輪2</x:v>
      </x:c>
      <x:c r="E328" s="16" t="str">
        <x:v>轉輪3</x:v>
      </x:c>
      <x:c r="F328" s="16" t="str">
        <x:v>轉輪4</x:v>
      </x:c>
      <x:c r="G328" s="16" t="str">
        <x:v>轉輪5</x:v>
      </x:c>
      <x:c r="H328" s="16" t="str">
        <x:v>出現次數</x:v>
      </x:c>
      <x:c r="I328" s="16" t="str">
        <x:v>出現機率</x:v>
      </x:c>
      <x:c r="J328" s="16" t="str">
        <x:v>得分數</x:v>
      </x:c>
      <x:c r="K328" s="16" t="str">
        <x:v>RTP</x:v>
      </x:c>
      <x:c r="L328" s="16" t="str">
        <x:v>說明</x:v>
      </x:c>
    </x:row>
    <x:row r="329">
      <x:c r="A329" s="18" t="str">
        <x:v>W</x:v>
      </x:c>
      <x:c r="B329" s="18" t="n">
        <x:v>5</x:v>
      </x:c>
      <x:c r="C329" s="18" t="str">
        <x:v>W</x:v>
      </x:c>
      <x:c r="D329" s="18" t="str">
        <x:v>W</x:v>
      </x:c>
      <x:c r="E329" s="18" t="str">
        <x:v>W</x:v>
      </x:c>
      <x:c r="F329" s="18" t="str">
        <x:v>W</x:v>
      </x:c>
      <x:c r="G329" s="18" t="str">
        <x:v>W</x:v>
      </x:c>
      <x:c r="H329" s="21" t="n">
        <x:f>PRODUCT(VLOOKUP(C329,$A$29:$F$42,2,FALSE),VLOOKUP(D329,$A$29:$F$42,3,FALSE),VLOOKUP(E329,$A$29:$F$42,4,FALSE),VLOOKUP(F329,$A$29:$F$42,5,FALSE),VLOOKUP(G329,$A$29:$F$42,6,FALSE))</x:f>
        <x:v>32</x:v>
      </x:c>
      <x:c r="I329" s="22" t="n">
        <x:f>H329/$N$5</x:f>
        <x:v>0.00001</x:v>
      </x:c>
      <x:c r="J329" s="18" t="n">
        <x:f>INDEX($I$6:$K$11,MATCH("W",$H$6:$H$11,0),MATCH(B329&amp;"連線",$I$5:$K$5,0))</x:f>
        <x:v>1000</x:v>
      </x:c>
      <x:c r="K329" s="22" t="n">
        <x:f>I329*J329</x:f>
        <x:v>0.01</x:v>
      </x:c>
      <x:c r="L329" s="18" t="str">
        <x:v>五軸全 Wild</x:v>
      </x:c>
    </x:row>
    <x:row r="330">
      <x:c r="A330" s="18" t="str">
        <x:v>W</x:v>
      </x:c>
      <x:c r="B330" s="18" t="n">
        <x:v>4</x:v>
      </x:c>
      <x:c r="C330" s="18" t="str">
        <x:v>W</x:v>
      </x:c>
      <x:c r="D330" s="18" t="str">
        <x:v>W</x:v>
      </x:c>
      <x:c r="E330" s="18" t="str">
        <x:v>W</x:v>
      </x:c>
      <x:c r="F330" s="18" t="str">
        <x:v>W</x:v>
      </x:c>
      <x:c r="G330" s="18" t="str">
        <x:v>S</x:v>
      </x:c>
      <x:c r="H330" s="21" t="n">
        <x:f>PRODUCT(VLOOKUP(C330,$A$29:$F$42,2,FALSE),VLOOKUP(D330,$A$29:$F$42,3,FALSE),VLOOKUP(E330,$A$29:$F$42,4,FALSE),VLOOKUP(F330,$A$29:$F$42,5,FALSE),VLOOKUP(G330,$A$29:$F$42,6,FALSE))</x:f>
        <x:v>0</x:v>
      </x:c>
      <x:c r="I330" s="22" t="n">
        <x:f>H330/$N$5</x:f>
        <x:v>0</x:v>
      </x:c>
      <x:c r="J330" s="18" t="n">
        <x:f>INDEX($I$6:$K$11,MATCH("W",$H$6:$H$11,0),MATCH(B330&amp;"連線",$I$5:$K$5,0))</x:f>
        <x:v>300</x:v>
      </x:c>
      <x:c r="K330" s="22" t="n">
        <x:f>I330*J330</x:f>
        <x:v>0</x:v>
      </x:c>
      <x:c r="L330" s="18" t="str">
        <x:v>第 5 軸需為 Wild 不能替代的符號，本範例無 Scatter 所以為 0</x:v>
      </x:c>
    </x:row>
    <x:row r="331">
      <x:c r="A331" s="18" t="str">
        <x:v>W</x:v>
      </x:c>
      <x:c r="B331" s="18" t="n">
        <x:v>3</x:v>
      </x:c>
      <x:c r="C331" s="18" t="str">
        <x:v>W</x:v>
      </x:c>
      <x:c r="D331" s="18" t="str">
        <x:v>W</x:v>
      </x:c>
      <x:c r="E331" s="18" t="str">
        <x:v>W</x:v>
      </x:c>
      <x:c r="F331" s="18" t="str">
        <x:v>S</x:v>
      </x:c>
      <x:c r="G331" s="18" t="str">
        <x:v>any</x:v>
      </x:c>
      <x:c r="H331" s="21" t="n">
        <x:f>PRODUCT(VLOOKUP(C331,$A$29:$F$42,2,FALSE),VLOOKUP(D331,$A$29:$F$42,3,FALSE),VLOOKUP(E331,$A$29:$F$42,4,FALSE),VLOOKUP(F331,$A$29:$F$42,5,FALSE),VLOOKUP(G331,$A$29:$F$42,6,FALSE))</x:f>
        <x:v>0</x:v>
      </x:c>
      <x:c r="I331" s="22" t="n">
        <x:f>H331/$N$5</x:f>
        <x:v>0</x:v>
      </x:c>
      <x:c r="J331" s="18" t="n">
        <x:f>INDEX($I$6:$K$11,MATCH("W",$H$6:$H$11,0),MATCH(B331&amp;"連線",$I$5:$K$5,0))</x:f>
        <x:v>150</x:v>
      </x:c>
      <x:c r="K331" s="22" t="n">
        <x:f>I331*J331</x:f>
        <x:v>0</x:v>
      </x:c>
      <x:c r="L331" s="18" t="str">
        <x:v>第 4 軸需為 Wild 不能替代的符號，本範例無 Scatter 所以為 0</x:v>
      </x:c>
    </x:row>
  </x:sheetData>
  <x:mergeCells>
    <x:mergeCell ref="A1:Z1"/>
    <x:mergeCell ref="A2:Z2"/>
    <x:mergeCell ref="A4:F4"/>
    <x:mergeCell ref="H4:K4"/>
    <x:mergeCell ref="M4:N4"/>
    <x:mergeCell ref="A28:F28"/>
    <x:mergeCell ref="A43:N43"/>
    <x:mergeCell ref="A63:Z63"/>
    <x:mergeCell ref="A327:L327"/>
  </x:mergeCells>
  <x:pageMargins left="0.7" right="0.7" top="0.75" bottom="0.75" header="0.3" footer="0.3"/>
</x:worksheet>
</file>