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Obsidian\SlotDesign\"/>
    </mc:Choice>
  </mc:AlternateContent>
  <bookViews>
    <workbookView xWindow="0" yWindow="0" windowWidth="21570" windowHeight="9300" activeTab="1"/>
  </bookViews>
  <sheets>
    <sheet name="主遊戲" sheetId="1" r:id="rId1"/>
    <sheet name="免費遊戲" sheetId="2" r:id="rId2"/>
    <sheet name="Summary" sheetId="3" r:id="rId3"/>
  </sheets>
  <calcPr calcId="162913"/>
  <fileRecoveryPr repairLoad="1"/>
</workbook>
</file>

<file path=xl/calcChain.xml><?xml version="1.0" encoding="utf-8"?>
<calcChain xmlns="http://schemas.openxmlformats.org/spreadsheetml/2006/main">
  <c r="K31" i="2" l="1"/>
  <c r="J31" i="2"/>
  <c r="K30" i="2"/>
  <c r="J30" i="2"/>
  <c r="I30" i="2"/>
  <c r="I31" i="2"/>
  <c r="I34" i="2"/>
  <c r="I32" i="2" s="1"/>
  <c r="I33" i="2" s="1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M12" i="2"/>
  <c r="M13" i="2" s="1"/>
  <c r="L12" i="2"/>
  <c r="L13" i="2" s="1"/>
  <c r="K12" i="2"/>
  <c r="K13" i="2" s="1"/>
  <c r="J12" i="2"/>
  <c r="J13" i="2" s="1"/>
  <c r="I12" i="2"/>
  <c r="I13" i="2" s="1"/>
  <c r="X11" i="2"/>
  <c r="M11" i="2"/>
  <c r="L11" i="2"/>
  <c r="K11" i="2"/>
  <c r="J11" i="2"/>
  <c r="I11" i="2"/>
  <c r="X10" i="2"/>
  <c r="M10" i="2"/>
  <c r="L10" i="2"/>
  <c r="L17" i="2" s="1"/>
  <c r="K10" i="2"/>
  <c r="J10" i="2"/>
  <c r="I10" i="2"/>
  <c r="X9" i="2"/>
  <c r="M9" i="2"/>
  <c r="M16" i="2" s="1"/>
  <c r="M21" i="2" s="1"/>
  <c r="L9" i="2"/>
  <c r="K9" i="2"/>
  <c r="J9" i="2"/>
  <c r="I9" i="2"/>
  <c r="I16" i="2" s="1"/>
  <c r="M8" i="2"/>
  <c r="L8" i="2"/>
  <c r="K8" i="2"/>
  <c r="J8" i="2"/>
  <c r="I8" i="2"/>
  <c r="M7" i="2"/>
  <c r="L7" i="2"/>
  <c r="K7" i="2"/>
  <c r="J7" i="2"/>
  <c r="I7" i="2"/>
  <c r="M6" i="2"/>
  <c r="L6" i="2"/>
  <c r="K6" i="2"/>
  <c r="J6" i="2"/>
  <c r="I6" i="2"/>
  <c r="M5" i="2"/>
  <c r="L5" i="2"/>
  <c r="K5" i="2"/>
  <c r="J5" i="2"/>
  <c r="I5" i="2"/>
  <c r="Q3" i="2" s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M12" i="1"/>
  <c r="M13" i="1" s="1"/>
  <c r="M24" i="1" s="1"/>
  <c r="L12" i="1"/>
  <c r="L13" i="1" s="1"/>
  <c r="L24" i="1" s="1"/>
  <c r="K12" i="1"/>
  <c r="K13" i="1" s="1"/>
  <c r="K24" i="1" s="1"/>
  <c r="J12" i="1"/>
  <c r="J13" i="1" s="1"/>
  <c r="I12" i="1"/>
  <c r="I13" i="1" s="1"/>
  <c r="X11" i="1"/>
  <c r="M11" i="1"/>
  <c r="L11" i="1"/>
  <c r="K11" i="1"/>
  <c r="J11" i="1"/>
  <c r="I11" i="1"/>
  <c r="X10" i="1"/>
  <c r="M10" i="1"/>
  <c r="L10" i="1"/>
  <c r="K10" i="1"/>
  <c r="J10" i="1"/>
  <c r="I10" i="1"/>
  <c r="X9" i="1"/>
  <c r="M9" i="1"/>
  <c r="L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M15" i="1" s="1"/>
  <c r="L6" i="1"/>
  <c r="L15" i="1" s="1"/>
  <c r="K6" i="1"/>
  <c r="K16" i="1" s="1"/>
  <c r="J6" i="1"/>
  <c r="J18" i="1" s="1"/>
  <c r="I6" i="1"/>
  <c r="I17" i="1" s="1"/>
  <c r="M5" i="1"/>
  <c r="M20" i="1" s="1"/>
  <c r="L5" i="1"/>
  <c r="L20" i="1" s="1"/>
  <c r="K5" i="1"/>
  <c r="J5" i="1"/>
  <c r="J24" i="1" s="1"/>
  <c r="I5" i="1"/>
  <c r="I24" i="1" s="1"/>
  <c r="Q3" i="1"/>
  <c r="J32" i="2" l="1"/>
  <c r="J33" i="2" s="1"/>
  <c r="K32" i="2"/>
  <c r="K33" i="2" s="1"/>
  <c r="I15" i="2"/>
  <c r="J16" i="2"/>
  <c r="M15" i="2"/>
  <c r="M20" i="2" s="1"/>
  <c r="L16" i="2"/>
  <c r="M24" i="2"/>
  <c r="V34" i="2"/>
  <c r="W34" i="2" s="1"/>
  <c r="Y34" i="2" s="1"/>
  <c r="K16" i="2"/>
  <c r="V15" i="2" s="1"/>
  <c r="W15" i="2" s="1"/>
  <c r="Y15" i="2" s="1"/>
  <c r="V31" i="1"/>
  <c r="W31" i="1" s="1"/>
  <c r="Y31" i="1" s="1"/>
  <c r="V33" i="1"/>
  <c r="W33" i="1" s="1"/>
  <c r="Y33" i="1" s="1"/>
  <c r="V38" i="1"/>
  <c r="W38" i="1" s="1"/>
  <c r="Y38" i="1" s="1"/>
  <c r="V30" i="1"/>
  <c r="W30" i="1" s="1"/>
  <c r="Y30" i="1" s="1"/>
  <c r="V32" i="1"/>
  <c r="W32" i="1" s="1"/>
  <c r="Y32" i="1" s="1"/>
  <c r="V39" i="1"/>
  <c r="W39" i="1" s="1"/>
  <c r="V35" i="1"/>
  <c r="W35" i="1" s="1"/>
  <c r="Y35" i="1" s="1"/>
  <c r="V37" i="1"/>
  <c r="W37" i="1" s="1"/>
  <c r="Y37" i="1" s="1"/>
  <c r="V29" i="1"/>
  <c r="W29" i="1" s="1"/>
  <c r="Y29" i="1" s="1"/>
  <c r="V27" i="1"/>
  <c r="W27" i="1" s="1"/>
  <c r="Y27" i="1" s="1"/>
  <c r="V28" i="1"/>
  <c r="W28" i="1" s="1"/>
  <c r="Y28" i="1" s="1"/>
  <c r="V36" i="1"/>
  <c r="W36" i="1" s="1"/>
  <c r="Y36" i="1" s="1"/>
  <c r="V25" i="1"/>
  <c r="W25" i="1" s="1"/>
  <c r="Y25" i="1" s="1"/>
  <c r="V34" i="1"/>
  <c r="W34" i="1" s="1"/>
  <c r="V26" i="1"/>
  <c r="W26" i="1" s="1"/>
  <c r="Y26" i="1" s="1"/>
  <c r="V24" i="1"/>
  <c r="W24" i="1" s="1"/>
  <c r="J23" i="2"/>
  <c r="L23" i="2"/>
  <c r="M23" i="2"/>
  <c r="V12" i="2"/>
  <c r="W12" i="2" s="1"/>
  <c r="Y12" i="2" s="1"/>
  <c r="I20" i="2"/>
  <c r="M17" i="1"/>
  <c r="I21" i="1"/>
  <c r="I14" i="1"/>
  <c r="L17" i="1"/>
  <c r="L22" i="1" s="1"/>
  <c r="I24" i="2"/>
  <c r="J14" i="1"/>
  <c r="J19" i="1" s="1"/>
  <c r="K21" i="1"/>
  <c r="I17" i="2"/>
  <c r="J24" i="2"/>
  <c r="V27" i="2" s="1"/>
  <c r="W27" i="2" s="1"/>
  <c r="Y27" i="2" s="1"/>
  <c r="K14" i="1"/>
  <c r="J17" i="2"/>
  <c r="K24" i="2"/>
  <c r="V25" i="2" s="1"/>
  <c r="W25" i="2" s="1"/>
  <c r="Y25" i="2" s="1"/>
  <c r="V36" i="2"/>
  <c r="W36" i="2" s="1"/>
  <c r="Y36" i="2" s="1"/>
  <c r="K17" i="2"/>
  <c r="L24" i="2"/>
  <c r="V35" i="2" s="1"/>
  <c r="W35" i="2" s="1"/>
  <c r="I18" i="1"/>
  <c r="M17" i="2"/>
  <c r="M22" i="2" s="1"/>
  <c r="I21" i="2"/>
  <c r="V24" i="2"/>
  <c r="W24" i="2" s="1"/>
  <c r="K18" i="1"/>
  <c r="K23" i="1" s="1"/>
  <c r="I14" i="2"/>
  <c r="J21" i="2"/>
  <c r="V37" i="2"/>
  <c r="W37" i="2" s="1"/>
  <c r="Y37" i="2" s="1"/>
  <c r="L18" i="1"/>
  <c r="L23" i="1" s="1"/>
  <c r="J14" i="2"/>
  <c r="J19" i="2" s="1"/>
  <c r="K21" i="2"/>
  <c r="M18" i="1"/>
  <c r="I22" i="1"/>
  <c r="K14" i="2"/>
  <c r="L21" i="2"/>
  <c r="I15" i="1"/>
  <c r="L14" i="2"/>
  <c r="L19" i="2" s="1"/>
  <c r="J15" i="1"/>
  <c r="M14" i="2"/>
  <c r="M19" i="2" s="1"/>
  <c r="I18" i="2"/>
  <c r="I23" i="2" s="1"/>
  <c r="J18" i="2"/>
  <c r="L18" i="2"/>
  <c r="M14" i="1"/>
  <c r="M18" i="2"/>
  <c r="I22" i="2"/>
  <c r="V39" i="2"/>
  <c r="W39" i="2" s="1"/>
  <c r="K19" i="1"/>
  <c r="J22" i="2"/>
  <c r="K17" i="1"/>
  <c r="K22" i="1" s="1"/>
  <c r="L14" i="1"/>
  <c r="K15" i="1"/>
  <c r="K20" i="1" s="1"/>
  <c r="M22" i="1"/>
  <c r="L19" i="1"/>
  <c r="J15" i="2"/>
  <c r="J20" i="2" s="1"/>
  <c r="K22" i="2"/>
  <c r="M19" i="1"/>
  <c r="I23" i="1"/>
  <c r="K15" i="2"/>
  <c r="K20" i="2" s="1"/>
  <c r="L22" i="2"/>
  <c r="I16" i="1"/>
  <c r="J23" i="1"/>
  <c r="L15" i="2"/>
  <c r="L20" i="2" s="1"/>
  <c r="V14" i="2" s="1"/>
  <c r="W14" i="2" s="1"/>
  <c r="Y14" i="2" s="1"/>
  <c r="J16" i="1"/>
  <c r="J21" i="1" s="1"/>
  <c r="L16" i="1"/>
  <c r="L21" i="1" s="1"/>
  <c r="M23" i="1"/>
  <c r="K19" i="2"/>
  <c r="J20" i="1"/>
  <c r="J17" i="1"/>
  <c r="V19" i="1" s="1"/>
  <c r="W19" i="1" s="1"/>
  <c r="Y19" i="1" s="1"/>
  <c r="K18" i="2"/>
  <c r="K23" i="2" s="1"/>
  <c r="M16" i="1"/>
  <c r="M21" i="1" s="1"/>
  <c r="I20" i="1"/>
  <c r="I19" i="1"/>
  <c r="V29" i="2" l="1"/>
  <c r="W29" i="2" s="1"/>
  <c r="Y29" i="2" s="1"/>
  <c r="V16" i="2"/>
  <c r="W16" i="2" s="1"/>
  <c r="Y16" i="2" s="1"/>
  <c r="V26" i="2"/>
  <c r="W26" i="2" s="1"/>
  <c r="Y26" i="2" s="1"/>
  <c r="V17" i="2"/>
  <c r="W17" i="2" s="1"/>
  <c r="Y17" i="2" s="1"/>
  <c r="V13" i="2"/>
  <c r="W13" i="2" s="1"/>
  <c r="Y13" i="2" s="1"/>
  <c r="Y35" i="2"/>
  <c r="V11" i="2"/>
  <c r="W11" i="2" s="1"/>
  <c r="Y11" i="2" s="1"/>
  <c r="V10" i="2"/>
  <c r="W10" i="2" s="1"/>
  <c r="Y10" i="2" s="1"/>
  <c r="V9" i="2"/>
  <c r="W9" i="2" s="1"/>
  <c r="Y9" i="2" s="1"/>
  <c r="V28" i="2"/>
  <c r="W28" i="2" s="1"/>
  <c r="Y28" i="2" s="1"/>
  <c r="V33" i="2"/>
  <c r="W33" i="2" s="1"/>
  <c r="Y33" i="2" s="1"/>
  <c r="V32" i="2"/>
  <c r="W32" i="2" s="1"/>
  <c r="Y32" i="2" s="1"/>
  <c r="V38" i="2"/>
  <c r="W38" i="2" s="1"/>
  <c r="Y38" i="2" s="1"/>
  <c r="V31" i="2"/>
  <c r="W31" i="2" s="1"/>
  <c r="Y31" i="2" s="1"/>
  <c r="V30" i="2"/>
  <c r="W30" i="2" s="1"/>
  <c r="Y30" i="2" s="1"/>
  <c r="Y24" i="2"/>
  <c r="J22" i="1"/>
  <c r="V23" i="1"/>
  <c r="W23" i="1" s="1"/>
  <c r="Y23" i="1" s="1"/>
  <c r="V22" i="1"/>
  <c r="W22" i="1" s="1"/>
  <c r="Y22" i="1" s="1"/>
  <c r="V21" i="1"/>
  <c r="W21" i="1" s="1"/>
  <c r="Y21" i="1" s="1"/>
  <c r="K43" i="2"/>
  <c r="Y39" i="2"/>
  <c r="Y34" i="1"/>
  <c r="J43" i="1"/>
  <c r="V19" i="2"/>
  <c r="W19" i="2" s="1"/>
  <c r="Y19" i="2" s="1"/>
  <c r="V18" i="2"/>
  <c r="W18" i="2" s="1"/>
  <c r="Y18" i="2" s="1"/>
  <c r="V20" i="2"/>
  <c r="W20" i="2" s="1"/>
  <c r="Y20" i="2" s="1"/>
  <c r="V18" i="1"/>
  <c r="W18" i="1" s="1"/>
  <c r="Y18" i="1" s="1"/>
  <c r="V20" i="1"/>
  <c r="W20" i="1" s="1"/>
  <c r="Y20" i="1" s="1"/>
  <c r="V9" i="1"/>
  <c r="W9" i="1" s="1"/>
  <c r="Y9" i="1" s="1"/>
  <c r="Q5" i="1" s="1"/>
  <c r="B11" i="3" s="1"/>
  <c r="V11" i="1"/>
  <c r="W11" i="1" s="1"/>
  <c r="Y11" i="1" s="1"/>
  <c r="V10" i="1"/>
  <c r="W10" i="1" s="1"/>
  <c r="Y10" i="1" s="1"/>
  <c r="I19" i="2"/>
  <c r="Y24" i="1"/>
  <c r="I43" i="1"/>
  <c r="K43" i="1"/>
  <c r="Y39" i="1"/>
  <c r="V23" i="2"/>
  <c r="W23" i="2" s="1"/>
  <c r="Y23" i="2" s="1"/>
  <c r="V22" i="2"/>
  <c r="W22" i="2" s="1"/>
  <c r="Y22" i="2" s="1"/>
  <c r="V21" i="2"/>
  <c r="W21" i="2" s="1"/>
  <c r="Y21" i="2" s="1"/>
  <c r="V12" i="1"/>
  <c r="W12" i="1" s="1"/>
  <c r="Y12" i="1" s="1"/>
  <c r="V14" i="1"/>
  <c r="W14" i="1" s="1"/>
  <c r="Y14" i="1" s="1"/>
  <c r="V13" i="1"/>
  <c r="W13" i="1" s="1"/>
  <c r="Y13" i="1" s="1"/>
  <c r="V15" i="1"/>
  <c r="W15" i="1" s="1"/>
  <c r="Y15" i="1" s="1"/>
  <c r="V16" i="1"/>
  <c r="W16" i="1" s="1"/>
  <c r="Y16" i="1" s="1"/>
  <c r="V17" i="1"/>
  <c r="W17" i="1" s="1"/>
  <c r="Y17" i="1" s="1"/>
  <c r="I43" i="2" l="1"/>
  <c r="L43" i="1"/>
  <c r="Q5" i="2"/>
  <c r="J43" i="2"/>
  <c r="L43" i="2" l="1"/>
  <c r="D4" i="3" l="1"/>
  <c r="C4" i="3"/>
  <c r="B4" i="3"/>
  <c r="E4" i="3" l="1"/>
  <c r="B12" i="3" s="1"/>
  <c r="B13" i="3" s="1"/>
</calcChain>
</file>

<file path=xl/sharedStrings.xml><?xml version="1.0" encoding="utf-8"?>
<sst xmlns="http://schemas.openxmlformats.org/spreadsheetml/2006/main" count="790" uniqueCount="66">
  <si>
    <t>主遊戲</t>
  </si>
  <si>
    <t>波輪表</t>
  </si>
  <si>
    <t>圖案次數統計</t>
  </si>
  <si>
    <t>所有可能數</t>
  </si>
  <si>
    <t>位置</t>
  </si>
  <si>
    <t>轉輪1</t>
  </si>
  <si>
    <t>轉輪2</t>
  </si>
  <si>
    <t>轉輪3</t>
  </si>
  <si>
    <t>轉輪4</t>
  </si>
  <si>
    <t>轉輪5</t>
  </si>
  <si>
    <t>圖案</t>
  </si>
  <si>
    <t>K</t>
  </si>
  <si>
    <t>W</t>
  </si>
  <si>
    <t>any</t>
  </si>
  <si>
    <t>RTP</t>
  </si>
  <si>
    <t>Q</t>
  </si>
  <si>
    <t>J</t>
  </si>
  <si>
    <t>得分計算表</t>
  </si>
  <si>
    <t>10</t>
  </si>
  <si>
    <t>連線數</t>
  </si>
  <si>
    <t>出現次數</t>
  </si>
  <si>
    <t>出現機率</t>
  </si>
  <si>
    <t>得分數</t>
  </si>
  <si>
    <t>9</t>
  </si>
  <si>
    <t>WK</t>
  </si>
  <si>
    <t>X_WK</t>
  </si>
  <si>
    <t>S</t>
  </si>
  <si>
    <t>WQ</t>
  </si>
  <si>
    <t>3S</t>
  </si>
  <si>
    <t>X_WQ</t>
  </si>
  <si>
    <t>WJ</t>
  </si>
  <si>
    <t>X_WJ</t>
  </si>
  <si>
    <t>W10</t>
  </si>
  <si>
    <t>W9</t>
  </si>
  <si>
    <t>X_W10</t>
  </si>
  <si>
    <t>X_W9</t>
  </si>
  <si>
    <t>X_3S</t>
  </si>
  <si>
    <t>賠率表</t>
  </si>
  <si>
    <t>3連線</t>
  </si>
  <si>
    <t>4連線</t>
  </si>
  <si>
    <t>5連線</t>
  </si>
  <si>
    <t>Scatter 觸發率摘要</t>
  </si>
  <si>
    <t>Scatter 個數</t>
  </si>
  <si>
    <t>Total</t>
  </si>
  <si>
    <t>Trigger Rate</t>
  </si>
  <si>
    <t>免費遊戲</t>
  </si>
  <si>
    <t>免費遊戲設定</t>
  </si>
  <si>
    <t>免費遊戲初始次數</t>
  </si>
  <si>
    <t>觸發率</t>
  </si>
  <si>
    <t>再觸發率</t>
  </si>
  <si>
    <t>免費遊戲平均總次數</t>
  </si>
  <si>
    <t>免費遊戲1個Spin、含再觸發後的平均Spins數</t>
  </si>
  <si>
    <t>PART II RTP Summary</t>
  </si>
  <si>
    <t>Free Game RTP</t>
  </si>
  <si>
    <t>3 Scatter</t>
  </si>
  <si>
    <t>4 Scatter</t>
  </si>
  <si>
    <t>5 Scatter</t>
  </si>
  <si>
    <t>Contribution</t>
  </si>
  <si>
    <t>Formula</t>
  </si>
  <si>
    <t>Free Game RTP = 34.92% + 4.62% + 0.22% = 39.76%</t>
  </si>
  <si>
    <t>Total RTP</t>
  </si>
  <si>
    <t>Value</t>
  </si>
  <si>
    <t>Main Game RTP</t>
  </si>
  <si>
    <t>from 主遊戲!Q5</t>
  </si>
  <si>
    <t>34.92% + 4.62% + 0.22%</t>
  </si>
  <si>
    <t>Main Game RTP + Free Game RTP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</si>
</sst>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%"/>
    <numFmt numFmtId="177" formatCode="0.0000"/>
    <numFmt numFmtId="178" formatCode="0.00000000"/>
  </numFmts>
  <fonts count="10">
    <font>
      <sz val="11"/>
      <name val="Carlito"/>
    </font>
    <font>
      <b/>
      <sz val="10"/>
      <color rgb="FF0F766E"/>
      <name val="Aptos"/>
    </font>
    <font>
      <sz val="10"/>
      <name val="Aptos"/>
    </font>
    <font>
      <b/>
      <sz val="10"/>
      <color rgb="FF1F2933"/>
      <name val="Aptos"/>
    </font>
    <font>
      <b/>
      <sz val="15"/>
      <color rgb="FFFFFFFF"/>
      <name val="Aptos"/>
    </font>
    <font>
      <b/>
      <sz val="10"/>
      <color rgb="FF12362F"/>
      <name val="Aptos"/>
    </font>
    <font>
      <b/>
      <sz val="10"/>
      <color rgb="FF215043"/>
      <name val="Aptos"/>
    </font>
    <font>
      <b/>
      <sz val="10"/>
      <color rgb="FF3E2C00"/>
      <name val="Aptos"/>
    </font>
    <font>
      <sz val="11"/>
      <name val="Carlito"/>
    </font>
    <font>
      <sz val="9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EDD"/>
      </patternFill>
    </fill>
    <fill>
      <patternFill patternType="solid">
        <fgColor rgb="FFF5FFF7"/>
      </patternFill>
    </fill>
    <fill>
      <patternFill patternType="solid">
        <fgColor rgb="FF143D36"/>
      </patternFill>
    </fill>
    <fill>
      <patternFill patternType="solid">
        <fgColor rgb="FFCFE7D5"/>
      </patternFill>
    </fill>
    <fill>
      <patternFill patternType="solid">
        <fgColor rgb="FFE8F3EC"/>
      </patternFill>
    </fill>
    <fill>
      <patternFill patternType="solid">
        <fgColor rgb="FFFFFFFF"/>
      </patternFill>
    </fill>
    <fill>
      <patternFill patternType="solid">
        <fgColor rgb="FFF7D774"/>
      </patternFill>
    </fill>
  </fills>
  <borders count="3">
    <border>
      <left/>
      <right/>
      <top/>
      <bottom/>
      <diagonal/>
    </border>
    <border>
      <left style="thin">
        <color rgb="FF7B8794"/>
      </left>
      <right style="thin">
        <color rgb="FF7B8794"/>
      </right>
      <top style="thin">
        <color rgb="FF7B8794"/>
      </top>
      <bottom style="thin">
        <color rgb="FF7B8794"/>
      </bottom>
      <diagonal/>
    </border>
    <border>
      <left style="thin">
        <color rgb="FFAFC8BA"/>
      </left>
      <right style="thin">
        <color rgb="FFAFC8BA"/>
      </right>
      <top style="thin">
        <color rgb="FFAFC8BA"/>
      </top>
      <bottom style="thin">
        <color rgb="FFAFC8BA"/>
      </bottom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2" fillId="0" borderId="0" xfId="1" applyNumberFormat="1" applyFont="1" applyFill="1" applyBorder="1"/>
    <xf numFmtId="0" fontId="2" fillId="0" borderId="1" xfId="1" applyNumberFormat="1" applyFont="1" applyFill="1" applyBorder="1" applyAlignment="1">
      <alignment vertical="center"/>
    </xf>
    <xf numFmtId="3" fontId="2" fillId="0" borderId="1" xfId="1" applyNumberFormat="1" applyFont="1" applyFill="1" applyBorder="1" applyAlignment="1">
      <alignment vertical="center"/>
    </xf>
    <xf numFmtId="0" fontId="3" fillId="3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0" fontId="2" fillId="0" borderId="1" xfId="1" applyNumberFormat="1" applyFont="1" applyFill="1" applyBorder="1" applyAlignment="1">
      <alignment vertical="center"/>
    </xf>
    <xf numFmtId="176" fontId="2" fillId="0" borderId="1" xfId="1" applyNumberFormat="1" applyFont="1" applyFill="1" applyBorder="1" applyAlignment="1">
      <alignment vertical="center"/>
    </xf>
    <xf numFmtId="177" fontId="2" fillId="0" borderId="1" xfId="1" applyNumberFormat="1" applyFont="1" applyFill="1" applyBorder="1" applyAlignment="1">
      <alignment vertical="center"/>
    </xf>
    <xf numFmtId="178" fontId="2" fillId="0" borderId="1" xfId="1" applyNumberFormat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wrapText="1"/>
    </xf>
    <xf numFmtId="0" fontId="2" fillId="0" borderId="2" xfId="1" applyNumberFormat="1" applyFont="1" applyFill="1" applyBorder="1" applyAlignment="1">
      <alignment vertical="center" wrapText="1"/>
    </xf>
    <xf numFmtId="10" fontId="2" fillId="0" borderId="2" xfId="1" applyNumberFormat="1" applyFont="1" applyFill="1" applyBorder="1" applyAlignment="1">
      <alignment vertical="center" wrapText="1"/>
    </xf>
    <xf numFmtId="0" fontId="5" fillId="6" borderId="2" xfId="1" applyNumberFormat="1" applyFont="1" applyFill="1" applyBorder="1" applyAlignment="1">
      <alignment horizontal="center" vertical="center" wrapText="1"/>
    </xf>
    <xf numFmtId="0" fontId="7" fillId="9" borderId="2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 applyAlignment="1">
      <alignment horizontal="left"/>
    </xf>
    <xf numFmtId="0" fontId="1" fillId="2" borderId="0" xfId="1" applyNumberFormat="1" applyFont="1" applyFill="1" applyBorder="1" applyAlignment="1">
      <alignment horizontal="left" vertical="center"/>
    </xf>
    <xf numFmtId="0" fontId="1" fillId="2" borderId="1" xfId="1" applyNumberFormat="1" applyFont="1" applyFill="1" applyBorder="1" applyAlignment="1">
      <alignment horizontal="left" vertical="center"/>
    </xf>
    <xf numFmtId="0" fontId="1" fillId="4" borderId="0" xfId="1" applyNumberFormat="1" applyFont="1" applyFill="1" applyBorder="1" applyAlignment="1">
      <alignment horizontal="left"/>
    </xf>
    <xf numFmtId="0" fontId="4" fillId="5" borderId="0" xfId="1" applyNumberFormat="1" applyFont="1" applyFill="1" applyBorder="1" applyAlignment="1">
      <alignment horizontal="center" vertical="center" wrapText="1"/>
    </xf>
    <xf numFmtId="0" fontId="0" fillId="0" borderId="0" xfId="0"/>
    <xf numFmtId="0" fontId="6" fillId="7" borderId="2" xfId="1" applyNumberFormat="1" applyFont="1" applyFill="1" applyBorder="1" applyAlignment="1">
      <alignment horizontal="left" vertical="center" wrapText="1"/>
    </xf>
    <xf numFmtId="0" fontId="3" fillId="8" borderId="2" xfId="1" applyNumberFormat="1" applyFont="1" applyFill="1" applyBorder="1" applyAlignment="1">
      <alignment horizontal="left" vertical="center" wrapText="1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showGridLines="0" workbookViewId="0">
      <selection sqref="A1:R1"/>
    </sheetView>
  </sheetViews>
  <sheetFormatPr defaultRowHeight="14.25"/>
  <cols>
    <col min="1" max="1" width="10" customWidth="1"/>
    <col min="2" max="6" width="9.5" customWidth="1"/>
    <col min="7" max="7" width="3" customWidth="1"/>
    <col min="8" max="8" width="10" customWidth="1"/>
    <col min="9" max="13" width="9.5" customWidth="1"/>
    <col min="14" max="14" width="10" customWidth="1"/>
    <col min="15" max="25" width="9.5" customWidth="1"/>
  </cols>
  <sheetData>
    <row r="1" spans="1: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6" t="s">
        <v>1</v>
      </c>
      <c r="B3" s="16" t="s">
        <v>1</v>
      </c>
      <c r="C3" s="16" t="s">
        <v>1</v>
      </c>
      <c r="D3" s="16" t="s">
        <v>1</v>
      </c>
      <c r="E3" s="16" t="s">
        <v>1</v>
      </c>
      <c r="F3" s="16" t="s">
        <v>1</v>
      </c>
      <c r="G3" s="1"/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"/>
      <c r="O3" s="1"/>
      <c r="P3" s="2" t="s">
        <v>3</v>
      </c>
      <c r="Q3" s="3">
        <f>PRODUCT(I5:M5)</f>
        <v>3200000</v>
      </c>
      <c r="R3" s="1"/>
      <c r="S3" s="1"/>
      <c r="T3" s="1"/>
      <c r="U3" s="1"/>
      <c r="V3" s="1"/>
      <c r="W3" s="1"/>
      <c r="X3" s="1"/>
      <c r="Y3" s="1"/>
    </row>
    <row r="4" spans="1: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1"/>
      <c r="H4" s="4" t="s">
        <v>10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1"/>
      <c r="O4" s="1"/>
      <c r="P4" s="2"/>
      <c r="Q4" s="2"/>
      <c r="R4" s="1"/>
      <c r="S4" s="1"/>
      <c r="T4" s="1"/>
      <c r="U4" s="1"/>
      <c r="V4" s="1"/>
      <c r="W4" s="1"/>
      <c r="X4" s="1"/>
      <c r="Y4" s="1"/>
    </row>
    <row r="5" spans="1:25">
      <c r="A5" s="2">
        <v>1</v>
      </c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1"/>
      <c r="H5" s="5" t="s">
        <v>13</v>
      </c>
      <c r="I5" s="2">
        <f>COUNTA(B$5:B$24)</f>
        <v>20</v>
      </c>
      <c r="J5" s="2">
        <f>COUNTA(C$5:C$24)</f>
        <v>20</v>
      </c>
      <c r="K5" s="2">
        <f>COUNTA(D$5:D$24)</f>
        <v>20</v>
      </c>
      <c r="L5" s="2">
        <f>COUNTA(E$5:E$24)</f>
        <v>20</v>
      </c>
      <c r="M5" s="2">
        <f>COUNTA(F$5:F$24)</f>
        <v>20</v>
      </c>
      <c r="N5" s="1"/>
      <c r="O5" s="1"/>
      <c r="P5" s="2" t="s">
        <v>14</v>
      </c>
      <c r="Q5" s="6">
        <f>SUM(Y9:Y39)</f>
        <v>0.65004249999999975</v>
      </c>
      <c r="R5" s="1"/>
      <c r="S5" s="1"/>
      <c r="T5" s="1"/>
      <c r="U5" s="1"/>
      <c r="V5" s="1"/>
      <c r="W5" s="1"/>
      <c r="X5" s="1"/>
      <c r="Y5" s="1"/>
    </row>
    <row r="6" spans="1:25">
      <c r="A6" s="2">
        <v>2</v>
      </c>
      <c r="B6" s="5" t="s">
        <v>15</v>
      </c>
      <c r="C6" s="5" t="s">
        <v>11</v>
      </c>
      <c r="D6" s="5" t="s">
        <v>11</v>
      </c>
      <c r="E6" s="5" t="s">
        <v>11</v>
      </c>
      <c r="F6" s="5" t="s">
        <v>11</v>
      </c>
      <c r="G6" s="1"/>
      <c r="H6" s="5" t="s">
        <v>12</v>
      </c>
      <c r="I6" s="2">
        <f t="shared" ref="I6:M12" si="0">COUNTIF(B$5:B$24,$H6)</f>
        <v>0</v>
      </c>
      <c r="J6" s="2">
        <f t="shared" si="0"/>
        <v>1</v>
      </c>
      <c r="K6" s="2">
        <f t="shared" si="0"/>
        <v>1</v>
      </c>
      <c r="L6" s="2">
        <f t="shared" si="0"/>
        <v>1</v>
      </c>
      <c r="M6" s="2">
        <f t="shared" si="0"/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">
        <v>3</v>
      </c>
      <c r="B7" s="5" t="s">
        <v>16</v>
      </c>
      <c r="C7" s="5" t="s">
        <v>15</v>
      </c>
      <c r="D7" s="5" t="s">
        <v>15</v>
      </c>
      <c r="E7" s="5" t="s">
        <v>15</v>
      </c>
      <c r="F7" s="5" t="s">
        <v>15</v>
      </c>
      <c r="G7" s="1"/>
      <c r="H7" s="5" t="s">
        <v>11</v>
      </c>
      <c r="I7" s="2">
        <f t="shared" si="0"/>
        <v>1</v>
      </c>
      <c r="J7" s="2">
        <f t="shared" si="0"/>
        <v>3</v>
      </c>
      <c r="K7" s="2">
        <f t="shared" si="0"/>
        <v>3</v>
      </c>
      <c r="L7" s="2">
        <f t="shared" si="0"/>
        <v>3</v>
      </c>
      <c r="M7" s="2">
        <f t="shared" si="0"/>
        <v>3</v>
      </c>
      <c r="N7" s="1"/>
      <c r="O7" s="17" t="s">
        <v>17</v>
      </c>
      <c r="P7" s="17" t="s">
        <v>17</v>
      </c>
      <c r="Q7" s="17" t="s">
        <v>17</v>
      </c>
      <c r="R7" s="17" t="s">
        <v>17</v>
      </c>
      <c r="S7" s="17" t="s">
        <v>17</v>
      </c>
      <c r="T7" s="17" t="s">
        <v>17</v>
      </c>
      <c r="U7" s="17" t="s">
        <v>17</v>
      </c>
      <c r="V7" s="17" t="s">
        <v>17</v>
      </c>
      <c r="W7" s="17" t="s">
        <v>17</v>
      </c>
      <c r="X7" s="17" t="s">
        <v>17</v>
      </c>
      <c r="Y7" s="17" t="s">
        <v>17</v>
      </c>
    </row>
    <row r="8" spans="1:25">
      <c r="A8" s="2">
        <v>4</v>
      </c>
      <c r="B8" s="5" t="s">
        <v>18</v>
      </c>
      <c r="C8" s="5" t="s">
        <v>16</v>
      </c>
      <c r="D8" s="5" t="s">
        <v>16</v>
      </c>
      <c r="E8" s="5" t="s">
        <v>16</v>
      </c>
      <c r="F8" s="5" t="s">
        <v>16</v>
      </c>
      <c r="G8" s="1"/>
      <c r="H8" s="5" t="s">
        <v>15</v>
      </c>
      <c r="I8" s="2">
        <f t="shared" si="0"/>
        <v>3</v>
      </c>
      <c r="J8" s="2">
        <f t="shared" si="0"/>
        <v>3</v>
      </c>
      <c r="K8" s="2">
        <f t="shared" si="0"/>
        <v>3</v>
      </c>
      <c r="L8" s="2">
        <f t="shared" si="0"/>
        <v>3</v>
      </c>
      <c r="M8" s="2">
        <f t="shared" si="0"/>
        <v>3</v>
      </c>
      <c r="N8" s="1"/>
      <c r="O8" s="4" t="s">
        <v>10</v>
      </c>
      <c r="P8" s="4" t="s">
        <v>19</v>
      </c>
      <c r="Q8" s="4" t="s">
        <v>5</v>
      </c>
      <c r="R8" s="4" t="s">
        <v>6</v>
      </c>
      <c r="S8" s="4" t="s">
        <v>7</v>
      </c>
      <c r="T8" s="4" t="s">
        <v>8</v>
      </c>
      <c r="U8" s="4" t="s">
        <v>9</v>
      </c>
      <c r="V8" s="4" t="s">
        <v>20</v>
      </c>
      <c r="W8" s="4" t="s">
        <v>21</v>
      </c>
      <c r="X8" s="4" t="s">
        <v>22</v>
      </c>
      <c r="Y8" s="4" t="s">
        <v>14</v>
      </c>
    </row>
    <row r="9" spans="1:25">
      <c r="A9" s="2">
        <v>5</v>
      </c>
      <c r="B9" s="5" t="s">
        <v>23</v>
      </c>
      <c r="C9" s="5" t="s">
        <v>18</v>
      </c>
      <c r="D9" s="5" t="s">
        <v>18</v>
      </c>
      <c r="E9" s="5" t="s">
        <v>18</v>
      </c>
      <c r="F9" s="5" t="s">
        <v>18</v>
      </c>
      <c r="G9" s="1"/>
      <c r="H9" s="5" t="s">
        <v>16</v>
      </c>
      <c r="I9" s="2">
        <f t="shared" si="0"/>
        <v>4</v>
      </c>
      <c r="J9" s="2">
        <f t="shared" si="0"/>
        <v>5</v>
      </c>
      <c r="K9" s="2">
        <f t="shared" si="0"/>
        <v>4</v>
      </c>
      <c r="L9" s="2">
        <f t="shared" si="0"/>
        <v>4</v>
      </c>
      <c r="M9" s="2">
        <f t="shared" si="0"/>
        <v>4</v>
      </c>
      <c r="N9" s="1"/>
      <c r="O9" s="2" t="s">
        <v>11</v>
      </c>
      <c r="P9" s="2">
        <v>5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24</v>
      </c>
      <c r="V9" s="3">
        <f t="shared" ref="V9:V39" si="1">PRODUCT(VLOOKUP(Q9,$H$4:$M$24,2,FALSE),VLOOKUP(R9,$H$4:$M$24,3,FALSE),VLOOKUP(S9,$H$4:$M$24,4,FALSE),VLOOKUP(T9,$H$4:$M$24,5,FALSE),VLOOKUP(U9,$H$4:$M$24,6,FALSE))</f>
        <v>256</v>
      </c>
      <c r="W9" s="6">
        <f t="shared" ref="W9:W39" si="2">V9/$Q$3</f>
        <v>8.0000000000000007E-5</v>
      </c>
      <c r="X9" s="2">
        <f t="shared" ref="X9:X39" si="3">INDEX($B$30:$D$35,MATCH(O9,$A$30:$A$35,0),MATCH(P9&amp;"連線",$B$29:$D$29,0))</f>
        <v>100</v>
      </c>
      <c r="Y9" s="6">
        <f t="shared" ref="Y9:Y39" si="4">W9*X9</f>
        <v>8.0000000000000002E-3</v>
      </c>
    </row>
    <row r="10" spans="1:25">
      <c r="A10" s="2">
        <v>6</v>
      </c>
      <c r="B10" s="5" t="s">
        <v>23</v>
      </c>
      <c r="C10" s="5" t="s">
        <v>23</v>
      </c>
      <c r="D10" s="5" t="s">
        <v>23</v>
      </c>
      <c r="E10" s="5" t="s">
        <v>23</v>
      </c>
      <c r="F10" s="5" t="s">
        <v>23</v>
      </c>
      <c r="G10" s="1"/>
      <c r="H10" s="5" t="s">
        <v>18</v>
      </c>
      <c r="I10" s="2">
        <f t="shared" si="0"/>
        <v>5</v>
      </c>
      <c r="J10" s="2">
        <f t="shared" si="0"/>
        <v>3</v>
      </c>
      <c r="K10" s="2">
        <f t="shared" si="0"/>
        <v>4</v>
      </c>
      <c r="L10" s="2">
        <f t="shared" si="0"/>
        <v>4</v>
      </c>
      <c r="M10" s="2">
        <f t="shared" si="0"/>
        <v>4</v>
      </c>
      <c r="N10" s="1"/>
      <c r="O10" s="2" t="s">
        <v>11</v>
      </c>
      <c r="P10" s="2">
        <v>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25</v>
      </c>
      <c r="V10" s="3">
        <f t="shared" si="1"/>
        <v>1024</v>
      </c>
      <c r="W10" s="6">
        <f t="shared" si="2"/>
        <v>3.2000000000000003E-4</v>
      </c>
      <c r="X10" s="2">
        <f t="shared" si="3"/>
        <v>30</v>
      </c>
      <c r="Y10" s="6">
        <f t="shared" si="4"/>
        <v>9.6000000000000009E-3</v>
      </c>
    </row>
    <row r="11" spans="1:25">
      <c r="A11" s="2">
        <v>7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1"/>
      <c r="H11" s="5" t="s">
        <v>23</v>
      </c>
      <c r="I11" s="2">
        <f t="shared" si="0"/>
        <v>6</v>
      </c>
      <c r="J11" s="2">
        <f t="shared" si="0"/>
        <v>4</v>
      </c>
      <c r="K11" s="2">
        <f t="shared" si="0"/>
        <v>4</v>
      </c>
      <c r="L11" s="2">
        <f t="shared" si="0"/>
        <v>4</v>
      </c>
      <c r="M11" s="2">
        <f t="shared" si="0"/>
        <v>4</v>
      </c>
      <c r="N11" s="1"/>
      <c r="O11" s="2" t="s">
        <v>11</v>
      </c>
      <c r="P11" s="2">
        <v>3</v>
      </c>
      <c r="Q11" s="2" t="s">
        <v>24</v>
      </c>
      <c r="R11" s="2" t="s">
        <v>24</v>
      </c>
      <c r="S11" s="2" t="s">
        <v>24</v>
      </c>
      <c r="T11" s="2" t="s">
        <v>25</v>
      </c>
      <c r="U11" s="2" t="s">
        <v>13</v>
      </c>
      <c r="V11" s="3">
        <f t="shared" si="1"/>
        <v>5120</v>
      </c>
      <c r="W11" s="6">
        <f t="shared" si="2"/>
        <v>1.6000000000000001E-3</v>
      </c>
      <c r="X11" s="2">
        <f t="shared" si="3"/>
        <v>5</v>
      </c>
      <c r="Y11" s="6">
        <f t="shared" si="4"/>
        <v>8.0000000000000002E-3</v>
      </c>
    </row>
    <row r="12" spans="1:25">
      <c r="A12" s="2">
        <v>8</v>
      </c>
      <c r="B12" s="5" t="s">
        <v>15</v>
      </c>
      <c r="C12" s="5" t="s">
        <v>11</v>
      </c>
      <c r="D12" s="5" t="s">
        <v>11</v>
      </c>
      <c r="E12" s="5" t="s">
        <v>11</v>
      </c>
      <c r="F12" s="5" t="s">
        <v>11</v>
      </c>
      <c r="G12" s="1"/>
      <c r="H12" s="5" t="s">
        <v>26</v>
      </c>
      <c r="I12" s="2">
        <f t="shared" si="0"/>
        <v>1</v>
      </c>
      <c r="J12" s="2">
        <f t="shared" si="0"/>
        <v>1</v>
      </c>
      <c r="K12" s="2">
        <f t="shared" si="0"/>
        <v>1</v>
      </c>
      <c r="L12" s="2">
        <f t="shared" si="0"/>
        <v>1</v>
      </c>
      <c r="M12" s="2">
        <f t="shared" si="0"/>
        <v>1</v>
      </c>
      <c r="N12" s="1"/>
      <c r="O12" s="2" t="s">
        <v>15</v>
      </c>
      <c r="P12" s="2">
        <v>5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27</v>
      </c>
      <c r="V12" s="3">
        <f t="shared" si="1"/>
        <v>768</v>
      </c>
      <c r="W12" s="6">
        <f t="shared" si="2"/>
        <v>2.4000000000000001E-4</v>
      </c>
      <c r="X12" s="2">
        <f t="shared" si="3"/>
        <v>100</v>
      </c>
      <c r="Y12" s="6">
        <f t="shared" si="4"/>
        <v>2.4E-2</v>
      </c>
    </row>
    <row r="13" spans="1:25">
      <c r="A13" s="2">
        <v>9</v>
      </c>
      <c r="B13" s="5" t="s">
        <v>16</v>
      </c>
      <c r="C13" s="5" t="s">
        <v>15</v>
      </c>
      <c r="D13" s="5" t="s">
        <v>15</v>
      </c>
      <c r="E13" s="5" t="s">
        <v>15</v>
      </c>
      <c r="F13" s="5" t="s">
        <v>15</v>
      </c>
      <c r="G13" s="1"/>
      <c r="H13" s="5" t="s">
        <v>28</v>
      </c>
      <c r="I13" s="2">
        <f>I12*3</f>
        <v>3</v>
      </c>
      <c r="J13" s="2">
        <f>J12*3</f>
        <v>3</v>
      </c>
      <c r="K13" s="2">
        <f>K12*3</f>
        <v>3</v>
      </c>
      <c r="L13" s="2">
        <f>L12*3</f>
        <v>3</v>
      </c>
      <c r="M13" s="2">
        <f>M12*3</f>
        <v>3</v>
      </c>
      <c r="N13" s="1"/>
      <c r="O13" s="2" t="s">
        <v>15</v>
      </c>
      <c r="P13" s="2">
        <v>4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29</v>
      </c>
      <c r="V13" s="3">
        <f t="shared" si="1"/>
        <v>3072</v>
      </c>
      <c r="W13" s="6">
        <f t="shared" si="2"/>
        <v>9.6000000000000002E-4</v>
      </c>
      <c r="X13" s="2">
        <f t="shared" si="3"/>
        <v>25</v>
      </c>
      <c r="Y13" s="6">
        <f t="shared" si="4"/>
        <v>2.4E-2</v>
      </c>
    </row>
    <row r="14" spans="1:25">
      <c r="A14" s="2">
        <v>10</v>
      </c>
      <c r="B14" s="5" t="s">
        <v>18</v>
      </c>
      <c r="C14" s="5" t="s">
        <v>16</v>
      </c>
      <c r="D14" s="5" t="s">
        <v>16</v>
      </c>
      <c r="E14" s="5" t="s">
        <v>16</v>
      </c>
      <c r="F14" s="5" t="s">
        <v>16</v>
      </c>
      <c r="G14" s="1"/>
      <c r="H14" s="5" t="s">
        <v>24</v>
      </c>
      <c r="I14" s="2">
        <f>I6+I7</f>
        <v>1</v>
      </c>
      <c r="J14" s="2">
        <f>J6+J7</f>
        <v>4</v>
      </c>
      <c r="K14" s="2">
        <f>K6+K7</f>
        <v>4</v>
      </c>
      <c r="L14" s="2">
        <f>L6+L7</f>
        <v>4</v>
      </c>
      <c r="M14" s="2">
        <f>M6+M7</f>
        <v>4</v>
      </c>
      <c r="N14" s="1"/>
      <c r="O14" s="2" t="s">
        <v>15</v>
      </c>
      <c r="P14" s="2">
        <v>3</v>
      </c>
      <c r="Q14" s="2" t="s">
        <v>27</v>
      </c>
      <c r="R14" s="2" t="s">
        <v>27</v>
      </c>
      <c r="S14" s="2" t="s">
        <v>27</v>
      </c>
      <c r="T14" s="2" t="s">
        <v>29</v>
      </c>
      <c r="U14" s="2" t="s">
        <v>13</v>
      </c>
      <c r="V14" s="3">
        <f t="shared" si="1"/>
        <v>15360</v>
      </c>
      <c r="W14" s="6">
        <f t="shared" si="2"/>
        <v>4.7999999999999996E-3</v>
      </c>
      <c r="X14" s="2">
        <f t="shared" si="3"/>
        <v>5</v>
      </c>
      <c r="Y14" s="6">
        <f t="shared" si="4"/>
        <v>2.3999999999999997E-2</v>
      </c>
    </row>
    <row r="15" spans="1:25">
      <c r="A15" s="2">
        <v>11</v>
      </c>
      <c r="B15" s="5" t="s">
        <v>23</v>
      </c>
      <c r="C15" s="5" t="s">
        <v>18</v>
      </c>
      <c r="D15" s="5" t="s">
        <v>18</v>
      </c>
      <c r="E15" s="5" t="s">
        <v>18</v>
      </c>
      <c r="F15" s="5" t="s">
        <v>18</v>
      </c>
      <c r="G15" s="1"/>
      <c r="H15" s="5" t="s">
        <v>27</v>
      </c>
      <c r="I15" s="2">
        <f>I6+I8</f>
        <v>3</v>
      </c>
      <c r="J15" s="2">
        <f>J6+J8</f>
        <v>4</v>
      </c>
      <c r="K15" s="2">
        <f>K6+K8</f>
        <v>4</v>
      </c>
      <c r="L15" s="2">
        <f>L6+L8</f>
        <v>4</v>
      </c>
      <c r="M15" s="2">
        <f>M6+M8</f>
        <v>4</v>
      </c>
      <c r="N15" s="1"/>
      <c r="O15" s="2" t="s">
        <v>16</v>
      </c>
      <c r="P15" s="2">
        <v>5</v>
      </c>
      <c r="Q15" s="2" t="s">
        <v>30</v>
      </c>
      <c r="R15" s="2" t="s">
        <v>30</v>
      </c>
      <c r="S15" s="2" t="s">
        <v>30</v>
      </c>
      <c r="T15" s="2" t="s">
        <v>30</v>
      </c>
      <c r="U15" s="2" t="s">
        <v>30</v>
      </c>
      <c r="V15" s="3">
        <f t="shared" si="1"/>
        <v>3000</v>
      </c>
      <c r="W15" s="6">
        <f t="shared" si="2"/>
        <v>9.3749999999999997E-4</v>
      </c>
      <c r="X15" s="2">
        <f t="shared" si="3"/>
        <v>75</v>
      </c>
      <c r="Y15" s="6">
        <f t="shared" si="4"/>
        <v>7.03125E-2</v>
      </c>
    </row>
    <row r="16" spans="1:25">
      <c r="A16" s="2">
        <v>12</v>
      </c>
      <c r="B16" s="5" t="s">
        <v>18</v>
      </c>
      <c r="C16" s="5" t="s">
        <v>23</v>
      </c>
      <c r="D16" s="5" t="s">
        <v>23</v>
      </c>
      <c r="E16" s="5" t="s">
        <v>23</v>
      </c>
      <c r="F16" s="5" t="s">
        <v>23</v>
      </c>
      <c r="G16" s="1"/>
      <c r="H16" s="5" t="s">
        <v>30</v>
      </c>
      <c r="I16" s="2">
        <f>I6+I9</f>
        <v>4</v>
      </c>
      <c r="J16" s="2">
        <f>J6+J9</f>
        <v>6</v>
      </c>
      <c r="K16" s="2">
        <f>K6+K9</f>
        <v>5</v>
      </c>
      <c r="L16" s="2">
        <f>L6+L9</f>
        <v>5</v>
      </c>
      <c r="M16" s="2">
        <f>M6+M9</f>
        <v>5</v>
      </c>
      <c r="N16" s="1"/>
      <c r="O16" s="2" t="s">
        <v>16</v>
      </c>
      <c r="P16" s="2">
        <v>4</v>
      </c>
      <c r="Q16" s="2" t="s">
        <v>30</v>
      </c>
      <c r="R16" s="2" t="s">
        <v>30</v>
      </c>
      <c r="S16" s="2" t="s">
        <v>30</v>
      </c>
      <c r="T16" s="2" t="s">
        <v>30</v>
      </c>
      <c r="U16" s="2" t="s">
        <v>31</v>
      </c>
      <c r="V16" s="3">
        <f t="shared" si="1"/>
        <v>9000</v>
      </c>
      <c r="W16" s="6">
        <f t="shared" si="2"/>
        <v>2.8124999999999999E-3</v>
      </c>
      <c r="X16" s="2">
        <f t="shared" si="3"/>
        <v>20</v>
      </c>
      <c r="Y16" s="6">
        <f t="shared" si="4"/>
        <v>5.6249999999999994E-2</v>
      </c>
    </row>
    <row r="17" spans="1:25">
      <c r="A17" s="2">
        <v>13</v>
      </c>
      <c r="B17" s="5" t="s">
        <v>15</v>
      </c>
      <c r="C17" s="5" t="s">
        <v>11</v>
      </c>
      <c r="D17" s="5" t="s">
        <v>11</v>
      </c>
      <c r="E17" s="5" t="s">
        <v>11</v>
      </c>
      <c r="F17" s="5" t="s">
        <v>11</v>
      </c>
      <c r="G17" s="1"/>
      <c r="H17" s="5" t="s">
        <v>32</v>
      </c>
      <c r="I17" s="2">
        <f>I6+I10</f>
        <v>5</v>
      </c>
      <c r="J17" s="2">
        <f>J6+J10</f>
        <v>4</v>
      </c>
      <c r="K17" s="2">
        <f>K6+K10</f>
        <v>5</v>
      </c>
      <c r="L17" s="2">
        <f>L6+L10</f>
        <v>5</v>
      </c>
      <c r="M17" s="2">
        <f>M6+M10</f>
        <v>5</v>
      </c>
      <c r="N17" s="1"/>
      <c r="O17" s="2" t="s">
        <v>16</v>
      </c>
      <c r="P17" s="2">
        <v>3</v>
      </c>
      <c r="Q17" s="2" t="s">
        <v>30</v>
      </c>
      <c r="R17" s="2" t="s">
        <v>30</v>
      </c>
      <c r="S17" s="2" t="s">
        <v>30</v>
      </c>
      <c r="T17" s="2" t="s">
        <v>31</v>
      </c>
      <c r="U17" s="2" t="s">
        <v>13</v>
      </c>
      <c r="V17" s="3">
        <f t="shared" si="1"/>
        <v>36000</v>
      </c>
      <c r="W17" s="6">
        <f t="shared" si="2"/>
        <v>1.125E-2</v>
      </c>
      <c r="X17" s="2">
        <f t="shared" si="3"/>
        <v>5</v>
      </c>
      <c r="Y17" s="6">
        <f t="shared" si="4"/>
        <v>5.6249999999999994E-2</v>
      </c>
    </row>
    <row r="18" spans="1:25">
      <c r="A18" s="2">
        <v>14</v>
      </c>
      <c r="B18" s="5" t="s">
        <v>16</v>
      </c>
      <c r="C18" s="5" t="s">
        <v>15</v>
      </c>
      <c r="D18" s="5" t="s">
        <v>15</v>
      </c>
      <c r="E18" s="5" t="s">
        <v>15</v>
      </c>
      <c r="F18" s="5" t="s">
        <v>15</v>
      </c>
      <c r="G18" s="1"/>
      <c r="H18" s="5" t="s">
        <v>33</v>
      </c>
      <c r="I18" s="2">
        <f>I6+I11</f>
        <v>6</v>
      </c>
      <c r="J18" s="2">
        <f>J6+J11</f>
        <v>5</v>
      </c>
      <c r="K18" s="2">
        <f>K6+K11</f>
        <v>5</v>
      </c>
      <c r="L18" s="2">
        <f>L6+L11</f>
        <v>5</v>
      </c>
      <c r="M18" s="2">
        <f>M6+M11</f>
        <v>5</v>
      </c>
      <c r="N18" s="1"/>
      <c r="O18" s="2" t="s">
        <v>18</v>
      </c>
      <c r="P18" s="2">
        <v>5</v>
      </c>
      <c r="Q18" s="2" t="s">
        <v>32</v>
      </c>
      <c r="R18" s="2" t="s">
        <v>32</v>
      </c>
      <c r="S18" s="2" t="s">
        <v>32</v>
      </c>
      <c r="T18" s="2" t="s">
        <v>32</v>
      </c>
      <c r="U18" s="2" t="s">
        <v>32</v>
      </c>
      <c r="V18" s="3">
        <f t="shared" si="1"/>
        <v>2500</v>
      </c>
      <c r="W18" s="6">
        <f t="shared" si="2"/>
        <v>7.8125000000000004E-4</v>
      </c>
      <c r="X18" s="2">
        <f t="shared" si="3"/>
        <v>75</v>
      </c>
      <c r="Y18" s="6">
        <f t="shared" si="4"/>
        <v>5.859375E-2</v>
      </c>
    </row>
    <row r="19" spans="1:25">
      <c r="A19" s="2">
        <v>15</v>
      </c>
      <c r="B19" s="5" t="s">
        <v>18</v>
      </c>
      <c r="C19" s="5" t="s">
        <v>16</v>
      </c>
      <c r="D19" s="5" t="s">
        <v>16</v>
      </c>
      <c r="E19" s="5" t="s">
        <v>16</v>
      </c>
      <c r="F19" s="5" t="s">
        <v>16</v>
      </c>
      <c r="G19" s="1"/>
      <c r="H19" s="5" t="s">
        <v>25</v>
      </c>
      <c r="I19" s="2">
        <f>I5-I14</f>
        <v>19</v>
      </c>
      <c r="J19" s="2">
        <f>J5-J14</f>
        <v>16</v>
      </c>
      <c r="K19" s="2">
        <f>K5-K14</f>
        <v>16</v>
      </c>
      <c r="L19" s="2">
        <f>L5-L14</f>
        <v>16</v>
      </c>
      <c r="M19" s="2">
        <f>M5-M14</f>
        <v>16</v>
      </c>
      <c r="N19" s="1"/>
      <c r="O19" s="2" t="s">
        <v>18</v>
      </c>
      <c r="P19" s="2">
        <v>4</v>
      </c>
      <c r="Q19" s="2" t="s">
        <v>32</v>
      </c>
      <c r="R19" s="2" t="s">
        <v>32</v>
      </c>
      <c r="S19" s="2" t="s">
        <v>32</v>
      </c>
      <c r="T19" s="2" t="s">
        <v>32</v>
      </c>
      <c r="U19" s="2" t="s">
        <v>34</v>
      </c>
      <c r="V19" s="3">
        <f t="shared" si="1"/>
        <v>7500</v>
      </c>
      <c r="W19" s="6">
        <f t="shared" si="2"/>
        <v>2.3437499999999999E-3</v>
      </c>
      <c r="X19" s="2">
        <f t="shared" si="3"/>
        <v>20</v>
      </c>
      <c r="Y19" s="6">
        <f t="shared" si="4"/>
        <v>4.6875E-2</v>
      </c>
    </row>
    <row r="20" spans="1:25">
      <c r="A20" s="2">
        <v>16</v>
      </c>
      <c r="B20" s="5" t="s">
        <v>23</v>
      </c>
      <c r="C20" s="5" t="s">
        <v>18</v>
      </c>
      <c r="D20" s="5" t="s">
        <v>18</v>
      </c>
      <c r="E20" s="5" t="s">
        <v>18</v>
      </c>
      <c r="F20" s="5" t="s">
        <v>18</v>
      </c>
      <c r="G20" s="1"/>
      <c r="H20" s="5" t="s">
        <v>29</v>
      </c>
      <c r="I20" s="2">
        <f>I5-I15</f>
        <v>17</v>
      </c>
      <c r="J20" s="2">
        <f>J5-J15</f>
        <v>16</v>
      </c>
      <c r="K20" s="2">
        <f>K5-K15</f>
        <v>16</v>
      </c>
      <c r="L20" s="2">
        <f>L5-L15</f>
        <v>16</v>
      </c>
      <c r="M20" s="2">
        <f>M5-M15</f>
        <v>16</v>
      </c>
      <c r="N20" s="1"/>
      <c r="O20" s="2" t="s">
        <v>18</v>
      </c>
      <c r="P20" s="2">
        <v>3</v>
      </c>
      <c r="Q20" s="2" t="s">
        <v>32</v>
      </c>
      <c r="R20" s="2" t="s">
        <v>32</v>
      </c>
      <c r="S20" s="2" t="s">
        <v>32</v>
      </c>
      <c r="T20" s="2" t="s">
        <v>34</v>
      </c>
      <c r="U20" s="2" t="s">
        <v>13</v>
      </c>
      <c r="V20" s="3">
        <f t="shared" si="1"/>
        <v>30000</v>
      </c>
      <c r="W20" s="6">
        <f t="shared" si="2"/>
        <v>9.3749999999999997E-3</v>
      </c>
      <c r="X20" s="2">
        <f t="shared" si="3"/>
        <v>5</v>
      </c>
      <c r="Y20" s="6">
        <f t="shared" si="4"/>
        <v>4.6875E-2</v>
      </c>
    </row>
    <row r="21" spans="1:25">
      <c r="A21" s="2">
        <v>17</v>
      </c>
      <c r="B21" s="5" t="s">
        <v>23</v>
      </c>
      <c r="C21" s="5" t="s">
        <v>23</v>
      </c>
      <c r="D21" s="5" t="s">
        <v>23</v>
      </c>
      <c r="E21" s="5" t="s">
        <v>23</v>
      </c>
      <c r="F21" s="5" t="s">
        <v>23</v>
      </c>
      <c r="G21" s="1"/>
      <c r="H21" s="5" t="s">
        <v>31</v>
      </c>
      <c r="I21" s="2">
        <f>I5-I16</f>
        <v>16</v>
      </c>
      <c r="J21" s="2">
        <f>J5-J16</f>
        <v>14</v>
      </c>
      <c r="K21" s="2">
        <f>K5-K16</f>
        <v>15</v>
      </c>
      <c r="L21" s="2">
        <f>L5-L16</f>
        <v>15</v>
      </c>
      <c r="M21" s="2">
        <f>M5-M16</f>
        <v>15</v>
      </c>
      <c r="N21" s="1"/>
      <c r="O21" s="2" t="s">
        <v>23</v>
      </c>
      <c r="P21" s="2">
        <v>5</v>
      </c>
      <c r="Q21" s="2" t="s">
        <v>33</v>
      </c>
      <c r="R21" s="2" t="s">
        <v>33</v>
      </c>
      <c r="S21" s="2" t="s">
        <v>33</v>
      </c>
      <c r="T21" s="2" t="s">
        <v>33</v>
      </c>
      <c r="U21" s="2" t="s">
        <v>33</v>
      </c>
      <c r="V21" s="3">
        <f t="shared" si="1"/>
        <v>3750</v>
      </c>
      <c r="W21" s="6">
        <f t="shared" si="2"/>
        <v>1.171875E-3</v>
      </c>
      <c r="X21" s="2">
        <f t="shared" si="3"/>
        <v>50</v>
      </c>
      <c r="Y21" s="6">
        <f t="shared" si="4"/>
        <v>5.859375E-2</v>
      </c>
    </row>
    <row r="22" spans="1:25">
      <c r="A22" s="2">
        <v>18</v>
      </c>
      <c r="B22" s="5" t="s">
        <v>16</v>
      </c>
      <c r="C22" s="5" t="s">
        <v>16</v>
      </c>
      <c r="D22" s="5" t="s">
        <v>16</v>
      </c>
      <c r="E22" s="5" t="s">
        <v>16</v>
      </c>
      <c r="F22" s="5" t="s">
        <v>16</v>
      </c>
      <c r="G22" s="1"/>
      <c r="H22" s="5" t="s">
        <v>34</v>
      </c>
      <c r="I22" s="2">
        <f>I5-I17</f>
        <v>15</v>
      </c>
      <c r="J22" s="2">
        <f>J5-J17</f>
        <v>16</v>
      </c>
      <c r="K22" s="2">
        <f>K5-K17</f>
        <v>15</v>
      </c>
      <c r="L22" s="2">
        <f>L5-L17</f>
        <v>15</v>
      </c>
      <c r="M22" s="2">
        <f>M5-M17</f>
        <v>15</v>
      </c>
      <c r="N22" s="1"/>
      <c r="O22" s="2" t="s">
        <v>23</v>
      </c>
      <c r="P22" s="2">
        <v>4</v>
      </c>
      <c r="Q22" s="2" t="s">
        <v>33</v>
      </c>
      <c r="R22" s="2" t="s">
        <v>33</v>
      </c>
      <c r="S22" s="2" t="s">
        <v>33</v>
      </c>
      <c r="T22" s="2" t="s">
        <v>33</v>
      </c>
      <c r="U22" s="2" t="s">
        <v>35</v>
      </c>
      <c r="V22" s="3">
        <f t="shared" si="1"/>
        <v>11250</v>
      </c>
      <c r="W22" s="6">
        <f t="shared" si="2"/>
        <v>3.5156250000000001E-3</v>
      </c>
      <c r="X22" s="2">
        <f t="shared" si="3"/>
        <v>10</v>
      </c>
      <c r="Y22" s="6">
        <f t="shared" si="4"/>
        <v>3.515625E-2</v>
      </c>
    </row>
    <row r="23" spans="1:25">
      <c r="A23" s="2">
        <v>19</v>
      </c>
      <c r="B23" s="5" t="s">
        <v>18</v>
      </c>
      <c r="C23" s="5" t="s">
        <v>16</v>
      </c>
      <c r="D23" s="5" t="s">
        <v>18</v>
      </c>
      <c r="E23" s="5" t="s">
        <v>18</v>
      </c>
      <c r="F23" s="5" t="s">
        <v>18</v>
      </c>
      <c r="G23" s="1"/>
      <c r="H23" s="5" t="s">
        <v>35</v>
      </c>
      <c r="I23" s="2">
        <f>I5-I18</f>
        <v>14</v>
      </c>
      <c r="J23" s="2">
        <f>J5-J18</f>
        <v>15</v>
      </c>
      <c r="K23" s="2">
        <f>K5-K18</f>
        <v>15</v>
      </c>
      <c r="L23" s="2">
        <f>L5-L18</f>
        <v>15</v>
      </c>
      <c r="M23" s="2">
        <f>M5-M18</f>
        <v>15</v>
      </c>
      <c r="N23" s="1"/>
      <c r="O23" s="2" t="s">
        <v>23</v>
      </c>
      <c r="P23" s="2">
        <v>3</v>
      </c>
      <c r="Q23" s="2" t="s">
        <v>33</v>
      </c>
      <c r="R23" s="2" t="s">
        <v>33</v>
      </c>
      <c r="S23" s="2" t="s">
        <v>33</v>
      </c>
      <c r="T23" s="2" t="s">
        <v>35</v>
      </c>
      <c r="U23" s="2" t="s">
        <v>13</v>
      </c>
      <c r="V23" s="3">
        <f t="shared" si="1"/>
        <v>45000</v>
      </c>
      <c r="W23" s="6">
        <f t="shared" si="2"/>
        <v>1.40625E-2</v>
      </c>
      <c r="X23" s="2">
        <f t="shared" si="3"/>
        <v>5</v>
      </c>
      <c r="Y23" s="6">
        <f t="shared" si="4"/>
        <v>7.03125E-2</v>
      </c>
    </row>
    <row r="24" spans="1:25">
      <c r="A24" s="2">
        <v>20</v>
      </c>
      <c r="B24" s="5" t="s">
        <v>23</v>
      </c>
      <c r="C24" s="5" t="s">
        <v>23</v>
      </c>
      <c r="D24" s="5" t="s">
        <v>23</v>
      </c>
      <c r="E24" s="5" t="s">
        <v>23</v>
      </c>
      <c r="F24" s="5" t="s">
        <v>23</v>
      </c>
      <c r="G24" s="1"/>
      <c r="H24" s="5" t="s">
        <v>36</v>
      </c>
      <c r="I24" s="2">
        <f>I5-I13</f>
        <v>17</v>
      </c>
      <c r="J24" s="2">
        <f>J5-J13</f>
        <v>17</v>
      </c>
      <c r="K24" s="2">
        <f>K5-K13</f>
        <v>17</v>
      </c>
      <c r="L24" s="2">
        <f>L5-L13</f>
        <v>17</v>
      </c>
      <c r="M24" s="2">
        <f>M5-M13</f>
        <v>17</v>
      </c>
      <c r="N24" s="1"/>
      <c r="O24" s="2" t="s">
        <v>26</v>
      </c>
      <c r="P24" s="2">
        <v>3</v>
      </c>
      <c r="Q24" s="2" t="s">
        <v>28</v>
      </c>
      <c r="R24" s="2" t="s">
        <v>28</v>
      </c>
      <c r="S24" s="2" t="s">
        <v>28</v>
      </c>
      <c r="T24" s="2" t="s">
        <v>36</v>
      </c>
      <c r="U24" s="2" t="s">
        <v>36</v>
      </c>
      <c r="V24" s="3">
        <f t="shared" si="1"/>
        <v>7803</v>
      </c>
      <c r="W24" s="6">
        <f t="shared" si="2"/>
        <v>2.4384375000000001E-3</v>
      </c>
      <c r="X24" s="2">
        <f t="shared" si="3"/>
        <v>2</v>
      </c>
      <c r="Y24" s="6">
        <f t="shared" si="4"/>
        <v>4.8768750000000001E-3</v>
      </c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 t="s">
        <v>26</v>
      </c>
      <c r="P25" s="2">
        <v>3</v>
      </c>
      <c r="Q25" s="2" t="s">
        <v>28</v>
      </c>
      <c r="R25" s="2" t="s">
        <v>28</v>
      </c>
      <c r="S25" s="2" t="s">
        <v>36</v>
      </c>
      <c r="T25" s="2" t="s">
        <v>28</v>
      </c>
      <c r="U25" s="2" t="s">
        <v>36</v>
      </c>
      <c r="V25" s="3">
        <f t="shared" si="1"/>
        <v>7803</v>
      </c>
      <c r="W25" s="6">
        <f t="shared" si="2"/>
        <v>2.4384375000000001E-3</v>
      </c>
      <c r="X25" s="2">
        <f t="shared" si="3"/>
        <v>2</v>
      </c>
      <c r="Y25" s="6">
        <f t="shared" si="4"/>
        <v>4.8768750000000001E-3</v>
      </c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 t="s">
        <v>26</v>
      </c>
      <c r="P26" s="2">
        <v>3</v>
      </c>
      <c r="Q26" s="2" t="s">
        <v>28</v>
      </c>
      <c r="R26" s="2" t="s">
        <v>28</v>
      </c>
      <c r="S26" s="2" t="s">
        <v>36</v>
      </c>
      <c r="T26" s="2" t="s">
        <v>36</v>
      </c>
      <c r="U26" s="2" t="s">
        <v>28</v>
      </c>
      <c r="V26" s="3">
        <f t="shared" si="1"/>
        <v>7803</v>
      </c>
      <c r="W26" s="6">
        <f t="shared" si="2"/>
        <v>2.4384375000000001E-3</v>
      </c>
      <c r="X26" s="2">
        <f t="shared" si="3"/>
        <v>2</v>
      </c>
      <c r="Y26" s="6">
        <f t="shared" si="4"/>
        <v>4.8768750000000001E-3</v>
      </c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 t="s">
        <v>26</v>
      </c>
      <c r="P27" s="2">
        <v>3</v>
      </c>
      <c r="Q27" s="2" t="s">
        <v>28</v>
      </c>
      <c r="R27" s="2" t="s">
        <v>36</v>
      </c>
      <c r="S27" s="2" t="s">
        <v>28</v>
      </c>
      <c r="T27" s="2" t="s">
        <v>28</v>
      </c>
      <c r="U27" s="2" t="s">
        <v>36</v>
      </c>
      <c r="V27" s="3">
        <f t="shared" si="1"/>
        <v>7803</v>
      </c>
      <c r="W27" s="6">
        <f t="shared" si="2"/>
        <v>2.4384375000000001E-3</v>
      </c>
      <c r="X27" s="2">
        <f t="shared" si="3"/>
        <v>2</v>
      </c>
      <c r="Y27" s="6">
        <f t="shared" si="4"/>
        <v>4.8768750000000001E-3</v>
      </c>
    </row>
    <row r="28" spans="1:25">
      <c r="A28" s="16" t="s">
        <v>37</v>
      </c>
      <c r="B28" s="16" t="s">
        <v>37</v>
      </c>
      <c r="C28" s="16" t="s">
        <v>37</v>
      </c>
      <c r="D28" s="16" t="s">
        <v>37</v>
      </c>
      <c r="E28" s="16" t="s">
        <v>37</v>
      </c>
      <c r="F28" s="16" t="s">
        <v>37</v>
      </c>
      <c r="G28" s="1"/>
      <c r="H28" s="1"/>
      <c r="I28" s="1"/>
      <c r="J28" s="1"/>
      <c r="K28" s="1"/>
      <c r="L28" s="1"/>
      <c r="M28" s="1"/>
      <c r="N28" s="1"/>
      <c r="O28" s="2" t="s">
        <v>26</v>
      </c>
      <c r="P28" s="2">
        <v>3</v>
      </c>
      <c r="Q28" s="2" t="s">
        <v>28</v>
      </c>
      <c r="R28" s="2" t="s">
        <v>36</v>
      </c>
      <c r="S28" s="2" t="s">
        <v>28</v>
      </c>
      <c r="T28" s="2" t="s">
        <v>36</v>
      </c>
      <c r="U28" s="2" t="s">
        <v>28</v>
      </c>
      <c r="V28" s="3">
        <f t="shared" si="1"/>
        <v>7803</v>
      </c>
      <c r="W28" s="6">
        <f t="shared" si="2"/>
        <v>2.4384375000000001E-3</v>
      </c>
      <c r="X28" s="2">
        <f t="shared" si="3"/>
        <v>2</v>
      </c>
      <c r="Y28" s="6">
        <f t="shared" si="4"/>
        <v>4.8768750000000001E-3</v>
      </c>
    </row>
    <row r="29" spans="1:25">
      <c r="A29" s="4" t="s">
        <v>10</v>
      </c>
      <c r="B29" s="4" t="s">
        <v>38</v>
      </c>
      <c r="C29" s="4" t="s">
        <v>39</v>
      </c>
      <c r="D29" s="4" t="s">
        <v>40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2" t="s">
        <v>26</v>
      </c>
      <c r="P29" s="2">
        <v>3</v>
      </c>
      <c r="Q29" s="2" t="s">
        <v>28</v>
      </c>
      <c r="R29" s="2" t="s">
        <v>36</v>
      </c>
      <c r="S29" s="2" t="s">
        <v>36</v>
      </c>
      <c r="T29" s="2" t="s">
        <v>28</v>
      </c>
      <c r="U29" s="2" t="s">
        <v>28</v>
      </c>
      <c r="V29" s="3">
        <f t="shared" si="1"/>
        <v>7803</v>
      </c>
      <c r="W29" s="6">
        <f t="shared" si="2"/>
        <v>2.4384375000000001E-3</v>
      </c>
      <c r="X29" s="2">
        <f t="shared" si="3"/>
        <v>2</v>
      </c>
      <c r="Y29" s="6">
        <f t="shared" si="4"/>
        <v>4.8768750000000001E-3</v>
      </c>
    </row>
    <row r="30" spans="1:25">
      <c r="A30" s="2" t="s">
        <v>11</v>
      </c>
      <c r="B30" s="2">
        <v>5</v>
      </c>
      <c r="C30" s="2">
        <v>30</v>
      </c>
      <c r="D30" s="2">
        <v>100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2" t="s">
        <v>26</v>
      </c>
      <c r="P30" s="2">
        <v>3</v>
      </c>
      <c r="Q30" s="2" t="s">
        <v>36</v>
      </c>
      <c r="R30" s="2" t="s">
        <v>28</v>
      </c>
      <c r="S30" s="2" t="s">
        <v>28</v>
      </c>
      <c r="T30" s="2" t="s">
        <v>28</v>
      </c>
      <c r="U30" s="2" t="s">
        <v>36</v>
      </c>
      <c r="V30" s="3">
        <f t="shared" si="1"/>
        <v>7803</v>
      </c>
      <c r="W30" s="6">
        <f t="shared" si="2"/>
        <v>2.4384375000000001E-3</v>
      </c>
      <c r="X30" s="2">
        <f t="shared" si="3"/>
        <v>2</v>
      </c>
      <c r="Y30" s="6">
        <f t="shared" si="4"/>
        <v>4.8768750000000001E-3</v>
      </c>
    </row>
    <row r="31" spans="1:25">
      <c r="A31" s="2" t="s">
        <v>15</v>
      </c>
      <c r="B31" s="2">
        <v>5</v>
      </c>
      <c r="C31" s="2">
        <v>25</v>
      </c>
      <c r="D31" s="2">
        <v>100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2" t="s">
        <v>26</v>
      </c>
      <c r="P31" s="2">
        <v>3</v>
      </c>
      <c r="Q31" s="2" t="s">
        <v>36</v>
      </c>
      <c r="R31" s="2" t="s">
        <v>28</v>
      </c>
      <c r="S31" s="2" t="s">
        <v>28</v>
      </c>
      <c r="T31" s="2" t="s">
        <v>36</v>
      </c>
      <c r="U31" s="2" t="s">
        <v>28</v>
      </c>
      <c r="V31" s="3">
        <f t="shared" si="1"/>
        <v>7803</v>
      </c>
      <c r="W31" s="6">
        <f t="shared" si="2"/>
        <v>2.4384375000000001E-3</v>
      </c>
      <c r="X31" s="2">
        <f t="shared" si="3"/>
        <v>2</v>
      </c>
      <c r="Y31" s="6">
        <f t="shared" si="4"/>
        <v>4.8768750000000001E-3</v>
      </c>
    </row>
    <row r="32" spans="1:25">
      <c r="A32" s="2" t="s">
        <v>16</v>
      </c>
      <c r="B32" s="2">
        <v>5</v>
      </c>
      <c r="C32" s="2">
        <v>20</v>
      </c>
      <c r="D32" s="2">
        <v>75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2" t="s">
        <v>26</v>
      </c>
      <c r="P32" s="2">
        <v>3</v>
      </c>
      <c r="Q32" s="2" t="s">
        <v>36</v>
      </c>
      <c r="R32" s="2" t="s">
        <v>28</v>
      </c>
      <c r="S32" s="2" t="s">
        <v>36</v>
      </c>
      <c r="T32" s="2" t="s">
        <v>28</v>
      </c>
      <c r="U32" s="2" t="s">
        <v>28</v>
      </c>
      <c r="V32" s="3">
        <f t="shared" si="1"/>
        <v>7803</v>
      </c>
      <c r="W32" s="6">
        <f t="shared" si="2"/>
        <v>2.4384375000000001E-3</v>
      </c>
      <c r="X32" s="2">
        <f t="shared" si="3"/>
        <v>2</v>
      </c>
      <c r="Y32" s="6">
        <f t="shared" si="4"/>
        <v>4.8768750000000001E-3</v>
      </c>
    </row>
    <row r="33" spans="1:25">
      <c r="A33" s="2" t="s">
        <v>18</v>
      </c>
      <c r="B33" s="2">
        <v>5</v>
      </c>
      <c r="C33" s="2">
        <v>20</v>
      </c>
      <c r="D33" s="2">
        <v>75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2" t="s">
        <v>26</v>
      </c>
      <c r="P33" s="2">
        <v>3</v>
      </c>
      <c r="Q33" s="2" t="s">
        <v>36</v>
      </c>
      <c r="R33" s="2" t="s">
        <v>36</v>
      </c>
      <c r="S33" s="2" t="s">
        <v>28</v>
      </c>
      <c r="T33" s="2" t="s">
        <v>28</v>
      </c>
      <c r="U33" s="2" t="s">
        <v>28</v>
      </c>
      <c r="V33" s="3">
        <f t="shared" si="1"/>
        <v>7803</v>
      </c>
      <c r="W33" s="6">
        <f t="shared" si="2"/>
        <v>2.4384375000000001E-3</v>
      </c>
      <c r="X33" s="2">
        <f t="shared" si="3"/>
        <v>2</v>
      </c>
      <c r="Y33" s="6">
        <f t="shared" si="4"/>
        <v>4.8768750000000001E-3</v>
      </c>
    </row>
    <row r="34" spans="1:25">
      <c r="A34" s="2" t="s">
        <v>23</v>
      </c>
      <c r="B34" s="2">
        <v>5</v>
      </c>
      <c r="C34" s="2">
        <v>10</v>
      </c>
      <c r="D34" s="2">
        <v>50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26</v>
      </c>
      <c r="P34" s="2">
        <v>4</v>
      </c>
      <c r="Q34" s="2" t="s">
        <v>28</v>
      </c>
      <c r="R34" s="2" t="s">
        <v>28</v>
      </c>
      <c r="S34" s="2" t="s">
        <v>28</v>
      </c>
      <c r="T34" s="2" t="s">
        <v>28</v>
      </c>
      <c r="U34" s="2" t="s">
        <v>36</v>
      </c>
      <c r="V34" s="3">
        <f t="shared" si="1"/>
        <v>1377</v>
      </c>
      <c r="W34" s="6">
        <f t="shared" si="2"/>
        <v>4.3031249999999998E-4</v>
      </c>
      <c r="X34" s="2">
        <f t="shared" si="3"/>
        <v>2</v>
      </c>
      <c r="Y34" s="6">
        <f t="shared" si="4"/>
        <v>8.6062499999999995E-4</v>
      </c>
    </row>
    <row r="35" spans="1:25">
      <c r="A35" s="2" t="s">
        <v>26</v>
      </c>
      <c r="B35" s="2">
        <v>2</v>
      </c>
      <c r="C35" s="2">
        <v>2</v>
      </c>
      <c r="D35" s="2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2" t="s">
        <v>26</v>
      </c>
      <c r="P35" s="2">
        <v>4</v>
      </c>
      <c r="Q35" s="2" t="s">
        <v>28</v>
      </c>
      <c r="R35" s="2" t="s">
        <v>28</v>
      </c>
      <c r="S35" s="2" t="s">
        <v>28</v>
      </c>
      <c r="T35" s="2" t="s">
        <v>36</v>
      </c>
      <c r="U35" s="2" t="s">
        <v>28</v>
      </c>
      <c r="V35" s="3">
        <f t="shared" si="1"/>
        <v>1377</v>
      </c>
      <c r="W35" s="6">
        <f t="shared" si="2"/>
        <v>4.3031249999999998E-4</v>
      </c>
      <c r="X35" s="2">
        <f t="shared" si="3"/>
        <v>2</v>
      </c>
      <c r="Y35" s="6">
        <f t="shared" si="4"/>
        <v>8.6062499999999995E-4</v>
      </c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 t="s">
        <v>26</v>
      </c>
      <c r="P36" s="2">
        <v>4</v>
      </c>
      <c r="Q36" s="2" t="s">
        <v>28</v>
      </c>
      <c r="R36" s="2" t="s">
        <v>28</v>
      </c>
      <c r="S36" s="2" t="s">
        <v>36</v>
      </c>
      <c r="T36" s="2" t="s">
        <v>28</v>
      </c>
      <c r="U36" s="2" t="s">
        <v>28</v>
      </c>
      <c r="V36" s="3">
        <f t="shared" si="1"/>
        <v>1377</v>
      </c>
      <c r="W36" s="6">
        <f t="shared" si="2"/>
        <v>4.3031249999999998E-4</v>
      </c>
      <c r="X36" s="2">
        <f t="shared" si="3"/>
        <v>2</v>
      </c>
      <c r="Y36" s="6">
        <f t="shared" si="4"/>
        <v>8.6062499999999995E-4</v>
      </c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 t="s">
        <v>26</v>
      </c>
      <c r="P37" s="2">
        <v>4</v>
      </c>
      <c r="Q37" s="2" t="s">
        <v>28</v>
      </c>
      <c r="R37" s="2" t="s">
        <v>36</v>
      </c>
      <c r="S37" s="2" t="s">
        <v>28</v>
      </c>
      <c r="T37" s="2" t="s">
        <v>28</v>
      </c>
      <c r="U37" s="2" t="s">
        <v>28</v>
      </c>
      <c r="V37" s="3">
        <f t="shared" si="1"/>
        <v>1377</v>
      </c>
      <c r="W37" s="6">
        <f t="shared" si="2"/>
        <v>4.3031249999999998E-4</v>
      </c>
      <c r="X37" s="2">
        <f t="shared" si="3"/>
        <v>2</v>
      </c>
      <c r="Y37" s="6">
        <f t="shared" si="4"/>
        <v>8.6062499999999995E-4</v>
      </c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 t="s">
        <v>26</v>
      </c>
      <c r="P38" s="2">
        <v>4</v>
      </c>
      <c r="Q38" s="2" t="s">
        <v>36</v>
      </c>
      <c r="R38" s="2" t="s">
        <v>28</v>
      </c>
      <c r="S38" s="2" t="s">
        <v>28</v>
      </c>
      <c r="T38" s="2" t="s">
        <v>28</v>
      </c>
      <c r="U38" s="2" t="s">
        <v>28</v>
      </c>
      <c r="V38" s="3">
        <f t="shared" si="1"/>
        <v>1377</v>
      </c>
      <c r="W38" s="6">
        <f t="shared" si="2"/>
        <v>4.3031249999999998E-4</v>
      </c>
      <c r="X38" s="2">
        <f t="shared" si="3"/>
        <v>2</v>
      </c>
      <c r="Y38" s="6">
        <f t="shared" si="4"/>
        <v>8.6062499999999995E-4</v>
      </c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 t="s">
        <v>26</v>
      </c>
      <c r="P39" s="2">
        <v>5</v>
      </c>
      <c r="Q39" s="2" t="s">
        <v>28</v>
      </c>
      <c r="R39" s="2" t="s">
        <v>28</v>
      </c>
      <c r="S39" s="2" t="s">
        <v>28</v>
      </c>
      <c r="T39" s="2" t="s">
        <v>28</v>
      </c>
      <c r="U39" s="2" t="s">
        <v>28</v>
      </c>
      <c r="V39" s="3">
        <f t="shared" si="1"/>
        <v>243</v>
      </c>
      <c r="W39" s="6">
        <f t="shared" si="2"/>
        <v>7.5937499999999996E-5</v>
      </c>
      <c r="X39" s="2">
        <f t="shared" si="3"/>
        <v>2</v>
      </c>
      <c r="Y39" s="6">
        <f t="shared" si="4"/>
        <v>1.5187499999999999E-4</v>
      </c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6" t="s">
        <v>41</v>
      </c>
      <c r="I41" s="16" t="s">
        <v>41</v>
      </c>
      <c r="J41" s="16" t="s">
        <v>41</v>
      </c>
      <c r="K41" s="16" t="s">
        <v>41</v>
      </c>
      <c r="L41" s="16" t="s">
        <v>41</v>
      </c>
      <c r="M41" s="16" t="s">
        <v>41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4" t="s">
        <v>42</v>
      </c>
      <c r="I42" s="4">
        <v>3</v>
      </c>
      <c r="J42" s="4">
        <v>4</v>
      </c>
      <c r="K42" s="4">
        <v>5</v>
      </c>
      <c r="L42" s="4" t="s">
        <v>43</v>
      </c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2" t="s">
        <v>44</v>
      </c>
      <c r="I43" s="7">
        <f>SUMIFS($W$9:$W$39,$O$9:$O$39,"S",$P$9:$P$39,3)</f>
        <v>2.4384375000000003E-2</v>
      </c>
      <c r="J43" s="7">
        <f>SUMIFS($W$9:$W$39,$O$9:$O$39,"S",$P$9:$P$39,4)</f>
        <v>2.1515624999999998E-3</v>
      </c>
      <c r="K43" s="7">
        <f>SUMIFS($W$9:$W$39,$O$9:$O$39,"S",$P$9:$P$39,5)</f>
        <v>7.5937499999999996E-5</v>
      </c>
      <c r="L43" s="7">
        <f>SUM(I43:K43)</f>
        <v>2.6611875000000004E-2</v>
      </c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</sheetData>
  <mergeCells count="6">
    <mergeCell ref="H41:M41"/>
    <mergeCell ref="A1:R1"/>
    <mergeCell ref="A3:F3"/>
    <mergeCell ref="A28:F28"/>
    <mergeCell ref="H3:M3"/>
    <mergeCell ref="O7:Y7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showGridLines="0" tabSelected="1" workbookViewId="0">
      <selection activeCell="I36" sqref="I36"/>
    </sheetView>
  </sheetViews>
  <sheetFormatPr defaultRowHeight="14.25"/>
  <cols>
    <col min="1" max="1" width="10" customWidth="1"/>
    <col min="2" max="6" width="9.5" customWidth="1"/>
    <col min="7" max="7" width="3" customWidth="1"/>
    <col min="8" max="8" width="10" customWidth="1"/>
    <col min="9" max="13" width="9.5" customWidth="1"/>
    <col min="14" max="14" width="10" customWidth="1"/>
    <col min="15" max="25" width="9.5" customWidth="1"/>
  </cols>
  <sheetData>
    <row r="1" spans="1:25">
      <c r="A1" s="18" t="s">
        <v>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6" t="s">
        <v>1</v>
      </c>
      <c r="B3" s="16" t="s">
        <v>1</v>
      </c>
      <c r="C3" s="16" t="s">
        <v>1</v>
      </c>
      <c r="D3" s="16" t="s">
        <v>1</v>
      </c>
      <c r="E3" s="16" t="s">
        <v>1</v>
      </c>
      <c r="F3" s="16" t="s">
        <v>1</v>
      </c>
      <c r="G3" s="1"/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"/>
      <c r="O3" s="1"/>
      <c r="P3" s="2" t="s">
        <v>3</v>
      </c>
      <c r="Q3" s="3">
        <f>PRODUCT(I5:M5)</f>
        <v>3040000</v>
      </c>
      <c r="R3" s="1"/>
      <c r="S3" s="1"/>
      <c r="T3" s="1"/>
      <c r="U3" s="1"/>
      <c r="V3" s="1"/>
      <c r="W3" s="1"/>
      <c r="X3" s="1"/>
      <c r="Y3" s="1"/>
    </row>
    <row r="4" spans="1: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1"/>
      <c r="H4" s="4" t="s">
        <v>10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1"/>
      <c r="O4" s="1"/>
      <c r="P4" s="2"/>
      <c r="Q4" s="2"/>
      <c r="R4" s="1"/>
      <c r="S4" s="1"/>
      <c r="T4" s="1"/>
      <c r="U4" s="1"/>
      <c r="V4" s="1"/>
      <c r="W4" s="1"/>
      <c r="X4" s="1"/>
      <c r="Y4" s="1"/>
    </row>
    <row r="5" spans="1:25">
      <c r="A5" s="2">
        <v>1</v>
      </c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1"/>
      <c r="H5" s="5" t="s">
        <v>13</v>
      </c>
      <c r="I5" s="2">
        <f>COUNTA(B$5:B$24)</f>
        <v>20</v>
      </c>
      <c r="J5" s="2">
        <f>COUNTA(C$5:C$24)</f>
        <v>20</v>
      </c>
      <c r="K5" s="2">
        <f>COUNTA(D$5:D$24)</f>
        <v>20</v>
      </c>
      <c r="L5" s="2">
        <f>COUNTA(E$5:E$24)</f>
        <v>20</v>
      </c>
      <c r="M5" s="2">
        <f>COUNTA(F$5:F$24)</f>
        <v>19</v>
      </c>
      <c r="N5" s="1"/>
      <c r="O5" s="1"/>
      <c r="P5" s="2" t="s">
        <v>14</v>
      </c>
      <c r="Q5" s="6">
        <f>SUM(Y9:Y39)</f>
        <v>1.0227654605263163</v>
      </c>
      <c r="R5" s="1"/>
      <c r="S5" s="1"/>
      <c r="T5" s="1"/>
      <c r="U5" s="1"/>
      <c r="V5" s="1"/>
      <c r="W5" s="1"/>
      <c r="X5" s="1"/>
      <c r="Y5" s="1"/>
    </row>
    <row r="6" spans="1:25">
      <c r="A6" s="2">
        <v>2</v>
      </c>
      <c r="B6" s="5" t="s">
        <v>15</v>
      </c>
      <c r="C6" s="5" t="s">
        <v>11</v>
      </c>
      <c r="D6" s="5" t="s">
        <v>11</v>
      </c>
      <c r="E6" s="5" t="s">
        <v>11</v>
      </c>
      <c r="F6" s="5" t="s">
        <v>11</v>
      </c>
      <c r="G6" s="1"/>
      <c r="H6" s="5" t="s">
        <v>12</v>
      </c>
      <c r="I6" s="2">
        <f t="shared" ref="I6:M12" si="0">COUNTIF(B$5:B$24,$H6)</f>
        <v>0</v>
      </c>
      <c r="J6" s="2">
        <f t="shared" si="0"/>
        <v>2</v>
      </c>
      <c r="K6" s="2">
        <f t="shared" si="0"/>
        <v>2</v>
      </c>
      <c r="L6" s="2">
        <f t="shared" si="0"/>
        <v>2</v>
      </c>
      <c r="M6" s="2">
        <f t="shared" si="0"/>
        <v>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">
        <v>3</v>
      </c>
      <c r="B7" s="5" t="s">
        <v>16</v>
      </c>
      <c r="C7" s="5" t="s">
        <v>15</v>
      </c>
      <c r="D7" s="5" t="s">
        <v>15</v>
      </c>
      <c r="E7" s="5" t="s">
        <v>15</v>
      </c>
      <c r="F7" s="5" t="s">
        <v>15</v>
      </c>
      <c r="G7" s="1"/>
      <c r="H7" s="5" t="s">
        <v>11</v>
      </c>
      <c r="I7" s="2">
        <f t="shared" si="0"/>
        <v>1</v>
      </c>
      <c r="J7" s="2">
        <f t="shared" si="0"/>
        <v>3</v>
      </c>
      <c r="K7" s="2">
        <f t="shared" si="0"/>
        <v>3</v>
      </c>
      <c r="L7" s="2">
        <f t="shared" si="0"/>
        <v>3</v>
      </c>
      <c r="M7" s="2">
        <f t="shared" si="0"/>
        <v>3</v>
      </c>
      <c r="N7" s="1"/>
      <c r="O7" s="17" t="s">
        <v>17</v>
      </c>
      <c r="P7" s="17" t="s">
        <v>17</v>
      </c>
      <c r="Q7" s="17" t="s">
        <v>17</v>
      </c>
      <c r="R7" s="17" t="s">
        <v>17</v>
      </c>
      <c r="S7" s="17" t="s">
        <v>17</v>
      </c>
      <c r="T7" s="17" t="s">
        <v>17</v>
      </c>
      <c r="U7" s="17" t="s">
        <v>17</v>
      </c>
      <c r="V7" s="17" t="s">
        <v>17</v>
      </c>
      <c r="W7" s="17" t="s">
        <v>17</v>
      </c>
      <c r="X7" s="17" t="s">
        <v>17</v>
      </c>
      <c r="Y7" s="17" t="s">
        <v>17</v>
      </c>
    </row>
    <row r="8" spans="1:25">
      <c r="A8" s="2">
        <v>4</v>
      </c>
      <c r="B8" s="5" t="s">
        <v>18</v>
      </c>
      <c r="C8" s="5" t="s">
        <v>16</v>
      </c>
      <c r="D8" s="5" t="s">
        <v>16</v>
      </c>
      <c r="E8" s="5" t="s">
        <v>16</v>
      </c>
      <c r="F8" s="5" t="s">
        <v>16</v>
      </c>
      <c r="G8" s="1"/>
      <c r="H8" s="5" t="s">
        <v>15</v>
      </c>
      <c r="I8" s="2">
        <f t="shared" si="0"/>
        <v>3</v>
      </c>
      <c r="J8" s="2">
        <f t="shared" si="0"/>
        <v>2</v>
      </c>
      <c r="K8" s="2">
        <f t="shared" si="0"/>
        <v>2</v>
      </c>
      <c r="L8" s="2">
        <f t="shared" si="0"/>
        <v>2</v>
      </c>
      <c r="M8" s="2">
        <f t="shared" si="0"/>
        <v>2</v>
      </c>
      <c r="N8" s="1"/>
      <c r="O8" s="4" t="s">
        <v>10</v>
      </c>
      <c r="P8" s="4" t="s">
        <v>19</v>
      </c>
      <c r="Q8" s="4" t="s">
        <v>5</v>
      </c>
      <c r="R8" s="4" t="s">
        <v>6</v>
      </c>
      <c r="S8" s="4" t="s">
        <v>7</v>
      </c>
      <c r="T8" s="4" t="s">
        <v>8</v>
      </c>
      <c r="U8" s="4" t="s">
        <v>9</v>
      </c>
      <c r="V8" s="4" t="s">
        <v>20</v>
      </c>
      <c r="W8" s="4" t="s">
        <v>21</v>
      </c>
      <c r="X8" s="4" t="s">
        <v>22</v>
      </c>
      <c r="Y8" s="4" t="s">
        <v>14</v>
      </c>
    </row>
    <row r="9" spans="1:25">
      <c r="A9" s="2">
        <v>5</v>
      </c>
      <c r="B9" s="5" t="s">
        <v>23</v>
      </c>
      <c r="C9" s="5" t="s">
        <v>18</v>
      </c>
      <c r="D9" s="5" t="s">
        <v>18</v>
      </c>
      <c r="E9" s="5" t="s">
        <v>18</v>
      </c>
      <c r="F9" s="5" t="s">
        <v>18</v>
      </c>
      <c r="G9" s="1"/>
      <c r="H9" s="5" t="s">
        <v>16</v>
      </c>
      <c r="I9" s="2">
        <f t="shared" si="0"/>
        <v>4</v>
      </c>
      <c r="J9" s="2">
        <f t="shared" si="0"/>
        <v>5</v>
      </c>
      <c r="K9" s="2">
        <f t="shared" si="0"/>
        <v>4</v>
      </c>
      <c r="L9" s="2">
        <f t="shared" si="0"/>
        <v>4</v>
      </c>
      <c r="M9" s="2">
        <f t="shared" si="0"/>
        <v>4</v>
      </c>
      <c r="N9" s="1"/>
      <c r="O9" s="2" t="s">
        <v>11</v>
      </c>
      <c r="P9" s="2">
        <v>5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24</v>
      </c>
      <c r="V9" s="3">
        <f t="shared" ref="V9:V39" si="1">PRODUCT(VLOOKUP(Q9,$H$4:$M$24,2,FALSE),VLOOKUP(R9,$H$4:$M$24,3,FALSE),VLOOKUP(S9,$H$4:$M$24,4,FALSE),VLOOKUP(T9,$H$4:$M$24,5,FALSE),VLOOKUP(U9,$H$4:$M$24,6,FALSE))</f>
        <v>625</v>
      </c>
      <c r="W9" s="6">
        <f t="shared" ref="W9:W39" si="2">V9/$Q$3</f>
        <v>2.0559210526315788E-4</v>
      </c>
      <c r="X9" s="2">
        <f t="shared" ref="X9:X39" si="3">INDEX($B$30:$D$35,MATCH(O9,$A$30:$A$35,0),MATCH(P9&amp;"連線",$B$29:$D$29,0))</f>
        <v>100</v>
      </c>
      <c r="Y9" s="6">
        <f t="shared" ref="Y9:Y39" si="4">W9*X9</f>
        <v>2.0559210526315787E-2</v>
      </c>
    </row>
    <row r="10" spans="1:25">
      <c r="A10" s="2">
        <v>6</v>
      </c>
      <c r="B10" s="5" t="s">
        <v>23</v>
      </c>
      <c r="C10" s="5" t="s">
        <v>23</v>
      </c>
      <c r="D10" s="5" t="s">
        <v>23</v>
      </c>
      <c r="E10" s="5" t="s">
        <v>23</v>
      </c>
      <c r="F10" s="5" t="s">
        <v>23</v>
      </c>
      <c r="G10" s="1"/>
      <c r="H10" s="5" t="s">
        <v>18</v>
      </c>
      <c r="I10" s="2">
        <f t="shared" si="0"/>
        <v>5</v>
      </c>
      <c r="J10" s="2">
        <f t="shared" si="0"/>
        <v>3</v>
      </c>
      <c r="K10" s="2">
        <f t="shared" si="0"/>
        <v>4</v>
      </c>
      <c r="L10" s="2">
        <f t="shared" si="0"/>
        <v>4</v>
      </c>
      <c r="M10" s="2">
        <f t="shared" si="0"/>
        <v>4</v>
      </c>
      <c r="N10" s="1"/>
      <c r="O10" s="2" t="s">
        <v>11</v>
      </c>
      <c r="P10" s="2">
        <v>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25</v>
      </c>
      <c r="V10" s="3">
        <f t="shared" si="1"/>
        <v>1750</v>
      </c>
      <c r="W10" s="6">
        <f t="shared" si="2"/>
        <v>5.7565789473684205E-4</v>
      </c>
      <c r="X10" s="2">
        <f t="shared" si="3"/>
        <v>30</v>
      </c>
      <c r="Y10" s="6">
        <f t="shared" si="4"/>
        <v>1.7269736842105261E-2</v>
      </c>
    </row>
    <row r="11" spans="1:25">
      <c r="A11" s="2">
        <v>7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1"/>
      <c r="H11" s="5" t="s">
        <v>23</v>
      </c>
      <c r="I11" s="2">
        <f t="shared" si="0"/>
        <v>6</v>
      </c>
      <c r="J11" s="2">
        <f t="shared" si="0"/>
        <v>4</v>
      </c>
      <c r="K11" s="2">
        <f t="shared" si="0"/>
        <v>4</v>
      </c>
      <c r="L11" s="2">
        <f t="shared" si="0"/>
        <v>4</v>
      </c>
      <c r="M11" s="2">
        <f t="shared" si="0"/>
        <v>3</v>
      </c>
      <c r="N11" s="1"/>
      <c r="O11" s="2" t="s">
        <v>11</v>
      </c>
      <c r="P11" s="2">
        <v>3</v>
      </c>
      <c r="Q11" s="2" t="s">
        <v>24</v>
      </c>
      <c r="R11" s="2" t="s">
        <v>24</v>
      </c>
      <c r="S11" s="2" t="s">
        <v>24</v>
      </c>
      <c r="T11" s="2" t="s">
        <v>25</v>
      </c>
      <c r="U11" s="2" t="s">
        <v>13</v>
      </c>
      <c r="V11" s="3">
        <f t="shared" si="1"/>
        <v>7125</v>
      </c>
      <c r="W11" s="6">
        <f t="shared" si="2"/>
        <v>2.3437499999999999E-3</v>
      </c>
      <c r="X11" s="2">
        <f t="shared" si="3"/>
        <v>5</v>
      </c>
      <c r="Y11" s="6">
        <f t="shared" si="4"/>
        <v>1.171875E-2</v>
      </c>
    </row>
    <row r="12" spans="1:25">
      <c r="A12" s="2">
        <v>8</v>
      </c>
      <c r="B12" s="5" t="s">
        <v>15</v>
      </c>
      <c r="C12" s="5" t="s">
        <v>11</v>
      </c>
      <c r="D12" s="5" t="s">
        <v>11</v>
      </c>
      <c r="E12" s="5" t="s">
        <v>11</v>
      </c>
      <c r="F12" s="5" t="s">
        <v>11</v>
      </c>
      <c r="G12" s="1"/>
      <c r="H12" s="5" t="s">
        <v>26</v>
      </c>
      <c r="I12" s="2">
        <f t="shared" si="0"/>
        <v>1</v>
      </c>
      <c r="J12" s="2">
        <f t="shared" si="0"/>
        <v>1</v>
      </c>
      <c r="K12" s="2">
        <f t="shared" si="0"/>
        <v>1</v>
      </c>
      <c r="L12" s="2">
        <f t="shared" si="0"/>
        <v>1</v>
      </c>
      <c r="M12" s="2">
        <f t="shared" si="0"/>
        <v>1</v>
      </c>
      <c r="N12" s="1"/>
      <c r="O12" s="2" t="s">
        <v>15</v>
      </c>
      <c r="P12" s="2">
        <v>5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27</v>
      </c>
      <c r="V12" s="3">
        <f t="shared" si="1"/>
        <v>768</v>
      </c>
      <c r="W12" s="6">
        <f t="shared" si="2"/>
        <v>2.5263157894736841E-4</v>
      </c>
      <c r="X12" s="2">
        <f t="shared" si="3"/>
        <v>100</v>
      </c>
      <c r="Y12" s="6">
        <f t="shared" si="4"/>
        <v>2.5263157894736842E-2</v>
      </c>
    </row>
    <row r="13" spans="1:25">
      <c r="A13" s="2">
        <v>9</v>
      </c>
      <c r="B13" s="5" t="s">
        <v>16</v>
      </c>
      <c r="C13" s="5" t="s">
        <v>15</v>
      </c>
      <c r="D13" s="5" t="s">
        <v>15</v>
      </c>
      <c r="E13" s="5" t="s">
        <v>15</v>
      </c>
      <c r="F13" s="5" t="s">
        <v>15</v>
      </c>
      <c r="G13" s="1"/>
      <c r="H13" s="5" t="s">
        <v>28</v>
      </c>
      <c r="I13" s="2">
        <f>I12*3</f>
        <v>3</v>
      </c>
      <c r="J13" s="2">
        <f>J12*3</f>
        <v>3</v>
      </c>
      <c r="K13" s="2">
        <f>K12*3</f>
        <v>3</v>
      </c>
      <c r="L13" s="2">
        <f>L12*3</f>
        <v>3</v>
      </c>
      <c r="M13" s="2">
        <f>M12*3</f>
        <v>3</v>
      </c>
      <c r="N13" s="1"/>
      <c r="O13" s="2" t="s">
        <v>15</v>
      </c>
      <c r="P13" s="2">
        <v>4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29</v>
      </c>
      <c r="V13" s="3">
        <f t="shared" si="1"/>
        <v>2880</v>
      </c>
      <c r="W13" s="6">
        <f t="shared" si="2"/>
        <v>9.4736842105263154E-4</v>
      </c>
      <c r="X13" s="2">
        <f t="shared" si="3"/>
        <v>25</v>
      </c>
      <c r="Y13" s="6">
        <f t="shared" si="4"/>
        <v>2.3684210526315787E-2</v>
      </c>
    </row>
    <row r="14" spans="1:25">
      <c r="A14" s="2">
        <v>10</v>
      </c>
      <c r="B14" s="5" t="s">
        <v>18</v>
      </c>
      <c r="C14" s="5" t="s">
        <v>16</v>
      </c>
      <c r="D14" s="5" t="s">
        <v>16</v>
      </c>
      <c r="E14" s="5" t="s">
        <v>16</v>
      </c>
      <c r="F14" s="5" t="s">
        <v>16</v>
      </c>
      <c r="G14" s="1"/>
      <c r="H14" s="5" t="s">
        <v>24</v>
      </c>
      <c r="I14" s="2">
        <f>I6+I7</f>
        <v>1</v>
      </c>
      <c r="J14" s="2">
        <f>J6+J7</f>
        <v>5</v>
      </c>
      <c r="K14" s="2">
        <f>K6+K7</f>
        <v>5</v>
      </c>
      <c r="L14" s="2">
        <f>L6+L7</f>
        <v>5</v>
      </c>
      <c r="M14" s="2">
        <f>M6+M7</f>
        <v>5</v>
      </c>
      <c r="N14" s="1"/>
      <c r="O14" s="2" t="s">
        <v>15</v>
      </c>
      <c r="P14" s="2">
        <v>3</v>
      </c>
      <c r="Q14" s="2" t="s">
        <v>27</v>
      </c>
      <c r="R14" s="2" t="s">
        <v>27</v>
      </c>
      <c r="S14" s="2" t="s">
        <v>27</v>
      </c>
      <c r="T14" s="2" t="s">
        <v>29</v>
      </c>
      <c r="U14" s="2" t="s">
        <v>13</v>
      </c>
      <c r="V14" s="3">
        <f t="shared" si="1"/>
        <v>14592</v>
      </c>
      <c r="W14" s="6">
        <f t="shared" si="2"/>
        <v>4.7999999999999996E-3</v>
      </c>
      <c r="X14" s="2">
        <f t="shared" si="3"/>
        <v>5</v>
      </c>
      <c r="Y14" s="6">
        <f t="shared" si="4"/>
        <v>2.3999999999999997E-2</v>
      </c>
    </row>
    <row r="15" spans="1:25">
      <c r="A15" s="2">
        <v>11</v>
      </c>
      <c r="B15" s="5" t="s">
        <v>23</v>
      </c>
      <c r="C15" s="5" t="s">
        <v>18</v>
      </c>
      <c r="D15" s="5" t="s">
        <v>18</v>
      </c>
      <c r="E15" s="5" t="s">
        <v>18</v>
      </c>
      <c r="F15" s="5" t="s">
        <v>18</v>
      </c>
      <c r="G15" s="1"/>
      <c r="H15" s="5" t="s">
        <v>27</v>
      </c>
      <c r="I15" s="2">
        <f>I6+I8</f>
        <v>3</v>
      </c>
      <c r="J15" s="2">
        <f>J6+J8</f>
        <v>4</v>
      </c>
      <c r="K15" s="2">
        <f>K6+K8</f>
        <v>4</v>
      </c>
      <c r="L15" s="2">
        <f>L6+L8</f>
        <v>4</v>
      </c>
      <c r="M15" s="2">
        <f>M6+M8</f>
        <v>4</v>
      </c>
      <c r="N15" s="1"/>
      <c r="O15" s="2" t="s">
        <v>16</v>
      </c>
      <c r="P15" s="2">
        <v>5</v>
      </c>
      <c r="Q15" s="2" t="s">
        <v>30</v>
      </c>
      <c r="R15" s="2" t="s">
        <v>30</v>
      </c>
      <c r="S15" s="2" t="s">
        <v>30</v>
      </c>
      <c r="T15" s="2" t="s">
        <v>30</v>
      </c>
      <c r="U15" s="2" t="s">
        <v>30</v>
      </c>
      <c r="V15" s="3">
        <f t="shared" si="1"/>
        <v>6048</v>
      </c>
      <c r="W15" s="6">
        <f t="shared" si="2"/>
        <v>1.9894736842105262E-3</v>
      </c>
      <c r="X15" s="2">
        <f t="shared" si="3"/>
        <v>75</v>
      </c>
      <c r="Y15" s="6">
        <f t="shared" si="4"/>
        <v>0.14921052631578946</v>
      </c>
    </row>
    <row r="16" spans="1:25">
      <c r="A16" s="2">
        <v>12</v>
      </c>
      <c r="B16" s="5" t="s">
        <v>18</v>
      </c>
      <c r="C16" s="5" t="s">
        <v>23</v>
      </c>
      <c r="D16" s="5" t="s">
        <v>23</v>
      </c>
      <c r="E16" s="5" t="s">
        <v>23</v>
      </c>
      <c r="F16" s="5" t="s">
        <v>23</v>
      </c>
      <c r="G16" s="1"/>
      <c r="H16" s="5" t="s">
        <v>30</v>
      </c>
      <c r="I16" s="2">
        <f>I6+I9</f>
        <v>4</v>
      </c>
      <c r="J16" s="2">
        <f>J6+J9</f>
        <v>7</v>
      </c>
      <c r="K16" s="2">
        <f>K6+K9</f>
        <v>6</v>
      </c>
      <c r="L16" s="2">
        <f>L6+L9</f>
        <v>6</v>
      </c>
      <c r="M16" s="2">
        <f>M6+M9</f>
        <v>6</v>
      </c>
      <c r="N16" s="1"/>
      <c r="O16" s="2" t="s">
        <v>16</v>
      </c>
      <c r="P16" s="2">
        <v>4</v>
      </c>
      <c r="Q16" s="2" t="s">
        <v>30</v>
      </c>
      <c r="R16" s="2" t="s">
        <v>30</v>
      </c>
      <c r="S16" s="2" t="s">
        <v>30</v>
      </c>
      <c r="T16" s="2" t="s">
        <v>30</v>
      </c>
      <c r="U16" s="2" t="s">
        <v>31</v>
      </c>
      <c r="V16" s="3">
        <f t="shared" si="1"/>
        <v>13104</v>
      </c>
      <c r="W16" s="6">
        <f t="shared" si="2"/>
        <v>4.3105263157894739E-3</v>
      </c>
      <c r="X16" s="2">
        <f t="shared" si="3"/>
        <v>20</v>
      </c>
      <c r="Y16" s="6">
        <f t="shared" si="4"/>
        <v>8.6210526315789474E-2</v>
      </c>
    </row>
    <row r="17" spans="1:25">
      <c r="A17" s="2">
        <v>13</v>
      </c>
      <c r="B17" s="5" t="s">
        <v>15</v>
      </c>
      <c r="C17" s="5" t="s">
        <v>11</v>
      </c>
      <c r="D17" s="5" t="s">
        <v>11</v>
      </c>
      <c r="E17" s="5" t="s">
        <v>11</v>
      </c>
      <c r="F17" s="5" t="s">
        <v>11</v>
      </c>
      <c r="G17" s="1"/>
      <c r="H17" s="5" t="s">
        <v>32</v>
      </c>
      <c r="I17" s="2">
        <f>I6+I10</f>
        <v>5</v>
      </c>
      <c r="J17" s="2">
        <f>J6+J10</f>
        <v>5</v>
      </c>
      <c r="K17" s="2">
        <f>K6+K10</f>
        <v>6</v>
      </c>
      <c r="L17" s="2">
        <f>L6+L10</f>
        <v>6</v>
      </c>
      <c r="M17" s="2">
        <f>M6+M10</f>
        <v>6</v>
      </c>
      <c r="N17" s="1"/>
      <c r="O17" s="2" t="s">
        <v>16</v>
      </c>
      <c r="P17" s="2">
        <v>3</v>
      </c>
      <c r="Q17" s="2" t="s">
        <v>30</v>
      </c>
      <c r="R17" s="2" t="s">
        <v>30</v>
      </c>
      <c r="S17" s="2" t="s">
        <v>30</v>
      </c>
      <c r="T17" s="2" t="s">
        <v>31</v>
      </c>
      <c r="U17" s="2" t="s">
        <v>13</v>
      </c>
      <c r="V17" s="3">
        <f t="shared" si="1"/>
        <v>44688</v>
      </c>
      <c r="W17" s="6">
        <f t="shared" si="2"/>
        <v>1.47E-2</v>
      </c>
      <c r="X17" s="2">
        <f t="shared" si="3"/>
        <v>5</v>
      </c>
      <c r="Y17" s="6">
        <f t="shared" si="4"/>
        <v>7.3499999999999996E-2</v>
      </c>
    </row>
    <row r="18" spans="1:25">
      <c r="A18" s="2">
        <v>14</v>
      </c>
      <c r="B18" s="5" t="s">
        <v>16</v>
      </c>
      <c r="C18" s="5" t="s">
        <v>12</v>
      </c>
      <c r="D18" s="5" t="s">
        <v>12</v>
      </c>
      <c r="E18" s="5" t="s">
        <v>12</v>
      </c>
      <c r="F18" s="5" t="s">
        <v>12</v>
      </c>
      <c r="G18" s="1"/>
      <c r="H18" s="5" t="s">
        <v>33</v>
      </c>
      <c r="I18" s="2">
        <f>I6+I11</f>
        <v>6</v>
      </c>
      <c r="J18" s="2">
        <f>J6+J11</f>
        <v>6</v>
      </c>
      <c r="K18" s="2">
        <f>K6+K11</f>
        <v>6</v>
      </c>
      <c r="L18" s="2">
        <f>L6+L11</f>
        <v>6</v>
      </c>
      <c r="M18" s="2">
        <f>M6+M11</f>
        <v>5</v>
      </c>
      <c r="N18" s="1"/>
      <c r="O18" s="2" t="s">
        <v>18</v>
      </c>
      <c r="P18" s="2">
        <v>5</v>
      </c>
      <c r="Q18" s="2" t="s">
        <v>32</v>
      </c>
      <c r="R18" s="2" t="s">
        <v>32</v>
      </c>
      <c r="S18" s="2" t="s">
        <v>32</v>
      </c>
      <c r="T18" s="2" t="s">
        <v>32</v>
      </c>
      <c r="U18" s="2" t="s">
        <v>32</v>
      </c>
      <c r="V18" s="3">
        <f t="shared" si="1"/>
        <v>5400</v>
      </c>
      <c r="W18" s="6">
        <f t="shared" si="2"/>
        <v>1.7763157894736842E-3</v>
      </c>
      <c r="X18" s="2">
        <f t="shared" si="3"/>
        <v>75</v>
      </c>
      <c r="Y18" s="6">
        <f t="shared" si="4"/>
        <v>0.13322368421052633</v>
      </c>
    </row>
    <row r="19" spans="1:25">
      <c r="A19" s="2">
        <v>15</v>
      </c>
      <c r="B19" s="5" t="s">
        <v>18</v>
      </c>
      <c r="C19" s="5" t="s">
        <v>16</v>
      </c>
      <c r="D19" s="5" t="s">
        <v>16</v>
      </c>
      <c r="E19" s="5" t="s">
        <v>16</v>
      </c>
      <c r="F19" s="5" t="s">
        <v>16</v>
      </c>
      <c r="G19" s="1"/>
      <c r="H19" s="5" t="s">
        <v>25</v>
      </c>
      <c r="I19" s="2">
        <f>I5-I14</f>
        <v>19</v>
      </c>
      <c r="J19" s="2">
        <f>J5-J14</f>
        <v>15</v>
      </c>
      <c r="K19" s="2">
        <f>K5-K14</f>
        <v>15</v>
      </c>
      <c r="L19" s="2">
        <f>L5-L14</f>
        <v>15</v>
      </c>
      <c r="M19" s="2">
        <f>M5-M14</f>
        <v>14</v>
      </c>
      <c r="N19" s="1"/>
      <c r="O19" s="2" t="s">
        <v>18</v>
      </c>
      <c r="P19" s="2">
        <v>4</v>
      </c>
      <c r="Q19" s="2" t="s">
        <v>32</v>
      </c>
      <c r="R19" s="2" t="s">
        <v>32</v>
      </c>
      <c r="S19" s="2" t="s">
        <v>32</v>
      </c>
      <c r="T19" s="2" t="s">
        <v>32</v>
      </c>
      <c r="U19" s="2" t="s">
        <v>34</v>
      </c>
      <c r="V19" s="3">
        <f t="shared" si="1"/>
        <v>11700</v>
      </c>
      <c r="W19" s="6">
        <f t="shared" si="2"/>
        <v>3.8486842105263158E-3</v>
      </c>
      <c r="X19" s="2">
        <f t="shared" si="3"/>
        <v>20</v>
      </c>
      <c r="Y19" s="6">
        <f t="shared" si="4"/>
        <v>7.6973684210526319E-2</v>
      </c>
    </row>
    <row r="20" spans="1:25">
      <c r="A20" s="2">
        <v>16</v>
      </c>
      <c r="B20" s="5" t="s">
        <v>23</v>
      </c>
      <c r="C20" s="5" t="s">
        <v>18</v>
      </c>
      <c r="D20" s="5" t="s">
        <v>18</v>
      </c>
      <c r="E20" s="5" t="s">
        <v>18</v>
      </c>
      <c r="F20" s="5" t="s">
        <v>18</v>
      </c>
      <c r="G20" s="1"/>
      <c r="H20" s="5" t="s">
        <v>29</v>
      </c>
      <c r="I20" s="2">
        <f>I5-I15</f>
        <v>17</v>
      </c>
      <c r="J20" s="2">
        <f>J5-J15</f>
        <v>16</v>
      </c>
      <c r="K20" s="2">
        <f>K5-K15</f>
        <v>16</v>
      </c>
      <c r="L20" s="2">
        <f>L5-L15</f>
        <v>16</v>
      </c>
      <c r="M20" s="2">
        <f>M5-M15</f>
        <v>15</v>
      </c>
      <c r="N20" s="1"/>
      <c r="O20" s="2" t="s">
        <v>18</v>
      </c>
      <c r="P20" s="2">
        <v>3</v>
      </c>
      <c r="Q20" s="2" t="s">
        <v>32</v>
      </c>
      <c r="R20" s="2" t="s">
        <v>32</v>
      </c>
      <c r="S20" s="2" t="s">
        <v>32</v>
      </c>
      <c r="T20" s="2" t="s">
        <v>34</v>
      </c>
      <c r="U20" s="2" t="s">
        <v>13</v>
      </c>
      <c r="V20" s="3">
        <f t="shared" si="1"/>
        <v>39900</v>
      </c>
      <c r="W20" s="6">
        <f t="shared" si="2"/>
        <v>1.3125E-2</v>
      </c>
      <c r="X20" s="2">
        <f t="shared" si="3"/>
        <v>5</v>
      </c>
      <c r="Y20" s="6">
        <f t="shared" si="4"/>
        <v>6.5625000000000003E-2</v>
      </c>
    </row>
    <row r="21" spans="1:25">
      <c r="A21" s="2">
        <v>17</v>
      </c>
      <c r="B21" s="5" t="s">
        <v>23</v>
      </c>
      <c r="C21" s="5" t="s">
        <v>23</v>
      </c>
      <c r="D21" s="5" t="s">
        <v>23</v>
      </c>
      <c r="E21" s="5" t="s">
        <v>23</v>
      </c>
      <c r="F21" s="5" t="s">
        <v>23</v>
      </c>
      <c r="G21" s="1"/>
      <c r="H21" s="5" t="s">
        <v>31</v>
      </c>
      <c r="I21" s="2">
        <f>I5-I16</f>
        <v>16</v>
      </c>
      <c r="J21" s="2">
        <f>J5-J16</f>
        <v>13</v>
      </c>
      <c r="K21" s="2">
        <f>K5-K16</f>
        <v>14</v>
      </c>
      <c r="L21" s="2">
        <f>L5-L16</f>
        <v>14</v>
      </c>
      <c r="M21" s="2">
        <f>M5-M16</f>
        <v>13</v>
      </c>
      <c r="N21" s="1"/>
      <c r="O21" s="2" t="s">
        <v>23</v>
      </c>
      <c r="P21" s="2">
        <v>5</v>
      </c>
      <c r="Q21" s="2" t="s">
        <v>33</v>
      </c>
      <c r="R21" s="2" t="s">
        <v>33</v>
      </c>
      <c r="S21" s="2" t="s">
        <v>33</v>
      </c>
      <c r="T21" s="2" t="s">
        <v>33</v>
      </c>
      <c r="U21" s="2" t="s">
        <v>33</v>
      </c>
      <c r="V21" s="3">
        <f t="shared" si="1"/>
        <v>6480</v>
      </c>
      <c r="W21" s="6">
        <f t="shared" si="2"/>
        <v>2.131578947368421E-3</v>
      </c>
      <c r="X21" s="2">
        <f t="shared" si="3"/>
        <v>50</v>
      </c>
      <c r="Y21" s="6">
        <f t="shared" si="4"/>
        <v>0.10657894736842105</v>
      </c>
    </row>
    <row r="22" spans="1:25">
      <c r="A22" s="2">
        <v>18</v>
      </c>
      <c r="B22" s="5" t="s">
        <v>16</v>
      </c>
      <c r="C22" s="5" t="s">
        <v>16</v>
      </c>
      <c r="D22" s="5" t="s">
        <v>16</v>
      </c>
      <c r="E22" s="5" t="s">
        <v>16</v>
      </c>
      <c r="F22" s="5" t="s">
        <v>16</v>
      </c>
      <c r="G22" s="1"/>
      <c r="H22" s="5" t="s">
        <v>34</v>
      </c>
      <c r="I22" s="2">
        <f>I5-I17</f>
        <v>15</v>
      </c>
      <c r="J22" s="2">
        <f>J5-J17</f>
        <v>15</v>
      </c>
      <c r="K22" s="2">
        <f>K5-K17</f>
        <v>14</v>
      </c>
      <c r="L22" s="2">
        <f>L5-L17</f>
        <v>14</v>
      </c>
      <c r="M22" s="2">
        <f>M5-M17</f>
        <v>13</v>
      </c>
      <c r="N22" s="1"/>
      <c r="O22" s="2" t="s">
        <v>23</v>
      </c>
      <c r="P22" s="2">
        <v>4</v>
      </c>
      <c r="Q22" s="2" t="s">
        <v>33</v>
      </c>
      <c r="R22" s="2" t="s">
        <v>33</v>
      </c>
      <c r="S22" s="2" t="s">
        <v>33</v>
      </c>
      <c r="T22" s="2" t="s">
        <v>33</v>
      </c>
      <c r="U22" s="2" t="s">
        <v>35</v>
      </c>
      <c r="V22" s="3">
        <f t="shared" si="1"/>
        <v>18144</v>
      </c>
      <c r="W22" s="6">
        <f t="shared" si="2"/>
        <v>5.9684210526315786E-3</v>
      </c>
      <c r="X22" s="2">
        <f t="shared" si="3"/>
        <v>10</v>
      </c>
      <c r="Y22" s="6">
        <f t="shared" si="4"/>
        <v>5.9684210526315784E-2</v>
      </c>
    </row>
    <row r="23" spans="1:25">
      <c r="A23" s="2">
        <v>19</v>
      </c>
      <c r="B23" s="5" t="s">
        <v>18</v>
      </c>
      <c r="C23" s="5" t="s">
        <v>16</v>
      </c>
      <c r="D23" s="5" t="s">
        <v>18</v>
      </c>
      <c r="E23" s="5" t="s">
        <v>18</v>
      </c>
      <c r="F23" s="5" t="s">
        <v>18</v>
      </c>
      <c r="G23" s="1"/>
      <c r="H23" s="5" t="s">
        <v>35</v>
      </c>
      <c r="I23" s="2">
        <f>I5-I18</f>
        <v>14</v>
      </c>
      <c r="J23" s="2">
        <f>J5-J18</f>
        <v>14</v>
      </c>
      <c r="K23" s="2">
        <f>K5-K18</f>
        <v>14</v>
      </c>
      <c r="L23" s="2">
        <f>L5-L18</f>
        <v>14</v>
      </c>
      <c r="M23" s="2">
        <f>M5-M18</f>
        <v>14</v>
      </c>
      <c r="N23" s="1"/>
      <c r="O23" s="2" t="s">
        <v>23</v>
      </c>
      <c r="P23" s="2">
        <v>3</v>
      </c>
      <c r="Q23" s="2" t="s">
        <v>33</v>
      </c>
      <c r="R23" s="2" t="s">
        <v>33</v>
      </c>
      <c r="S23" s="2" t="s">
        <v>33</v>
      </c>
      <c r="T23" s="2" t="s">
        <v>35</v>
      </c>
      <c r="U23" s="2" t="s">
        <v>13</v>
      </c>
      <c r="V23" s="3">
        <f t="shared" si="1"/>
        <v>57456</v>
      </c>
      <c r="W23" s="6">
        <f t="shared" si="2"/>
        <v>1.89E-2</v>
      </c>
      <c r="X23" s="2">
        <f t="shared" si="3"/>
        <v>5</v>
      </c>
      <c r="Y23" s="6">
        <f t="shared" si="4"/>
        <v>9.4500000000000001E-2</v>
      </c>
    </row>
    <row r="24" spans="1:25">
      <c r="A24" s="2">
        <v>20</v>
      </c>
      <c r="B24" s="5" t="s">
        <v>23</v>
      </c>
      <c r="C24" s="5" t="s">
        <v>23</v>
      </c>
      <c r="D24" s="5" t="s">
        <v>23</v>
      </c>
      <c r="E24" s="5" t="s">
        <v>23</v>
      </c>
      <c r="F24" s="5"/>
      <c r="G24" s="1"/>
      <c r="H24" s="5" t="s">
        <v>36</v>
      </c>
      <c r="I24" s="2">
        <f>I5-I13</f>
        <v>17</v>
      </c>
      <c r="J24" s="2">
        <f>J5-J13</f>
        <v>17</v>
      </c>
      <c r="K24" s="2">
        <f>K5-K13</f>
        <v>17</v>
      </c>
      <c r="L24" s="2">
        <f>L5-L13</f>
        <v>17</v>
      </c>
      <c r="M24" s="2">
        <f>M5-M13</f>
        <v>16</v>
      </c>
      <c r="N24" s="1"/>
      <c r="O24" s="2" t="s">
        <v>26</v>
      </c>
      <c r="P24" s="2">
        <v>3</v>
      </c>
      <c r="Q24" s="2" t="s">
        <v>28</v>
      </c>
      <c r="R24" s="2" t="s">
        <v>28</v>
      </c>
      <c r="S24" s="2" t="s">
        <v>28</v>
      </c>
      <c r="T24" s="2" t="s">
        <v>36</v>
      </c>
      <c r="U24" s="2" t="s">
        <v>36</v>
      </c>
      <c r="V24" s="3">
        <f t="shared" si="1"/>
        <v>7344</v>
      </c>
      <c r="W24" s="6">
        <f t="shared" si="2"/>
        <v>2.4157894736842106E-3</v>
      </c>
      <c r="X24" s="2">
        <f t="shared" si="3"/>
        <v>2</v>
      </c>
      <c r="Y24" s="6">
        <f t="shared" si="4"/>
        <v>4.8315789473684211E-3</v>
      </c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 t="s">
        <v>26</v>
      </c>
      <c r="P25" s="2">
        <v>3</v>
      </c>
      <c r="Q25" s="2" t="s">
        <v>28</v>
      </c>
      <c r="R25" s="2" t="s">
        <v>28</v>
      </c>
      <c r="S25" s="2" t="s">
        <v>36</v>
      </c>
      <c r="T25" s="2" t="s">
        <v>28</v>
      </c>
      <c r="U25" s="2" t="s">
        <v>36</v>
      </c>
      <c r="V25" s="3">
        <f t="shared" si="1"/>
        <v>7344</v>
      </c>
      <c r="W25" s="6">
        <f t="shared" si="2"/>
        <v>2.4157894736842106E-3</v>
      </c>
      <c r="X25" s="2">
        <f t="shared" si="3"/>
        <v>2</v>
      </c>
      <c r="Y25" s="6">
        <f t="shared" si="4"/>
        <v>4.8315789473684211E-3</v>
      </c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 t="s">
        <v>26</v>
      </c>
      <c r="P26" s="2">
        <v>3</v>
      </c>
      <c r="Q26" s="2" t="s">
        <v>28</v>
      </c>
      <c r="R26" s="2" t="s">
        <v>28</v>
      </c>
      <c r="S26" s="2" t="s">
        <v>36</v>
      </c>
      <c r="T26" s="2" t="s">
        <v>36</v>
      </c>
      <c r="U26" s="2" t="s">
        <v>28</v>
      </c>
      <c r="V26" s="3">
        <f t="shared" si="1"/>
        <v>7803</v>
      </c>
      <c r="W26" s="6">
        <f t="shared" si="2"/>
        <v>2.5667763157894738E-3</v>
      </c>
      <c r="X26" s="2">
        <f t="shared" si="3"/>
        <v>2</v>
      </c>
      <c r="Y26" s="6">
        <f t="shared" si="4"/>
        <v>5.1335526315789476E-3</v>
      </c>
    </row>
    <row r="27" spans="1:25">
      <c r="A27" s="1"/>
      <c r="B27" s="1"/>
      <c r="C27" s="1"/>
      <c r="D27" s="1"/>
      <c r="E27" s="1"/>
      <c r="F27" s="1"/>
      <c r="G27" s="1"/>
      <c r="H27" s="16" t="s">
        <v>46</v>
      </c>
      <c r="I27" s="16" t="s">
        <v>46</v>
      </c>
      <c r="J27" s="16" t="s">
        <v>46</v>
      </c>
      <c r="K27" s="16" t="s">
        <v>46</v>
      </c>
      <c r="L27" s="16" t="s">
        <v>46</v>
      </c>
      <c r="M27" s="16" t="s">
        <v>46</v>
      </c>
      <c r="N27" s="1"/>
      <c r="O27" s="2" t="s">
        <v>26</v>
      </c>
      <c r="P27" s="2">
        <v>3</v>
      </c>
      <c r="Q27" s="2" t="s">
        <v>28</v>
      </c>
      <c r="R27" s="2" t="s">
        <v>36</v>
      </c>
      <c r="S27" s="2" t="s">
        <v>28</v>
      </c>
      <c r="T27" s="2" t="s">
        <v>28</v>
      </c>
      <c r="U27" s="2" t="s">
        <v>36</v>
      </c>
      <c r="V27" s="3">
        <f t="shared" si="1"/>
        <v>7344</v>
      </c>
      <c r="W27" s="6">
        <f t="shared" si="2"/>
        <v>2.4157894736842106E-3</v>
      </c>
      <c r="X27" s="2">
        <f t="shared" si="3"/>
        <v>2</v>
      </c>
      <c r="Y27" s="6">
        <f t="shared" si="4"/>
        <v>4.8315789473684211E-3</v>
      </c>
    </row>
    <row r="28" spans="1:25">
      <c r="A28" s="16" t="s">
        <v>37</v>
      </c>
      <c r="B28" s="16" t="s">
        <v>37</v>
      </c>
      <c r="C28" s="16" t="s">
        <v>37</v>
      </c>
      <c r="D28" s="16" t="s">
        <v>37</v>
      </c>
      <c r="E28" s="16" t="s">
        <v>37</v>
      </c>
      <c r="F28" s="16" t="s">
        <v>37</v>
      </c>
      <c r="G28" s="1"/>
      <c r="H28" s="4" t="s">
        <v>42</v>
      </c>
      <c r="I28" s="4">
        <v>3</v>
      </c>
      <c r="J28" s="4">
        <v>4</v>
      </c>
      <c r="K28" s="4">
        <v>5</v>
      </c>
      <c r="L28" s="4"/>
      <c r="M28" s="4"/>
      <c r="N28" s="1"/>
      <c r="O28" s="2" t="s">
        <v>26</v>
      </c>
      <c r="P28" s="2">
        <v>3</v>
      </c>
      <c r="Q28" s="2" t="s">
        <v>28</v>
      </c>
      <c r="R28" s="2" t="s">
        <v>36</v>
      </c>
      <c r="S28" s="2" t="s">
        <v>28</v>
      </c>
      <c r="T28" s="2" t="s">
        <v>36</v>
      </c>
      <c r="U28" s="2" t="s">
        <v>28</v>
      </c>
      <c r="V28" s="3">
        <f t="shared" si="1"/>
        <v>7803</v>
      </c>
      <c r="W28" s="6">
        <f t="shared" si="2"/>
        <v>2.5667763157894738E-3</v>
      </c>
      <c r="X28" s="2">
        <f t="shared" si="3"/>
        <v>2</v>
      </c>
      <c r="Y28" s="6">
        <f t="shared" si="4"/>
        <v>5.1335526315789476E-3</v>
      </c>
    </row>
    <row r="29" spans="1:25">
      <c r="A29" s="4" t="s">
        <v>10</v>
      </c>
      <c r="B29" s="4" t="s">
        <v>38</v>
      </c>
      <c r="C29" s="4" t="s">
        <v>39</v>
      </c>
      <c r="D29" s="4" t="s">
        <v>40</v>
      </c>
      <c r="E29" s="1"/>
      <c r="F29" s="1"/>
      <c r="G29" s="1"/>
      <c r="H29" s="2" t="s">
        <v>47</v>
      </c>
      <c r="I29" s="2">
        <v>10</v>
      </c>
      <c r="J29" s="2">
        <v>15</v>
      </c>
      <c r="K29" s="2">
        <v>20</v>
      </c>
      <c r="L29" s="2"/>
      <c r="M29" s="2"/>
      <c r="N29" s="1"/>
      <c r="O29" s="2" t="s">
        <v>26</v>
      </c>
      <c r="P29" s="2">
        <v>3</v>
      </c>
      <c r="Q29" s="2" t="s">
        <v>28</v>
      </c>
      <c r="R29" s="2" t="s">
        <v>36</v>
      </c>
      <c r="S29" s="2" t="s">
        <v>36</v>
      </c>
      <c r="T29" s="2" t="s">
        <v>28</v>
      </c>
      <c r="U29" s="2" t="s">
        <v>28</v>
      </c>
      <c r="V29" s="3">
        <f t="shared" si="1"/>
        <v>7803</v>
      </c>
      <c r="W29" s="6">
        <f t="shared" si="2"/>
        <v>2.5667763157894738E-3</v>
      </c>
      <c r="X29" s="2">
        <f t="shared" si="3"/>
        <v>2</v>
      </c>
      <c r="Y29" s="6">
        <f t="shared" si="4"/>
        <v>5.1335526315789476E-3</v>
      </c>
    </row>
    <row r="30" spans="1:25">
      <c r="A30" s="2" t="s">
        <v>11</v>
      </c>
      <c r="B30" s="2">
        <v>5</v>
      </c>
      <c r="C30" s="2">
        <v>30</v>
      </c>
      <c r="D30" s="2">
        <v>100</v>
      </c>
      <c r="E30" s="1"/>
      <c r="F30" s="1"/>
      <c r="G30" s="1"/>
      <c r="H30" s="2" t="s">
        <v>48</v>
      </c>
      <c r="I30" s="7">
        <f>主遊戲!I43</f>
        <v>2.4384375000000003E-2</v>
      </c>
      <c r="J30" s="7">
        <f>主遊戲!J43</f>
        <v>2.1515624999999998E-3</v>
      </c>
      <c r="K30" s="7">
        <f>主遊戲!K43</f>
        <v>7.5937499999999996E-5</v>
      </c>
      <c r="L30" s="2"/>
      <c r="M30" s="2"/>
      <c r="N30" s="1"/>
      <c r="O30" s="2" t="s">
        <v>26</v>
      </c>
      <c r="P30" s="2">
        <v>3</v>
      </c>
      <c r="Q30" s="2" t="s">
        <v>36</v>
      </c>
      <c r="R30" s="2" t="s">
        <v>28</v>
      </c>
      <c r="S30" s="2" t="s">
        <v>28</v>
      </c>
      <c r="T30" s="2" t="s">
        <v>28</v>
      </c>
      <c r="U30" s="2" t="s">
        <v>36</v>
      </c>
      <c r="V30" s="3">
        <f t="shared" si="1"/>
        <v>7344</v>
      </c>
      <c r="W30" s="6">
        <f t="shared" si="2"/>
        <v>2.4157894736842106E-3</v>
      </c>
      <c r="X30" s="2">
        <f t="shared" si="3"/>
        <v>2</v>
      </c>
      <c r="Y30" s="6">
        <f t="shared" si="4"/>
        <v>4.8315789473684211E-3</v>
      </c>
    </row>
    <row r="31" spans="1:25">
      <c r="A31" s="2" t="s">
        <v>15</v>
      </c>
      <c r="B31" s="2">
        <v>5</v>
      </c>
      <c r="C31" s="2">
        <v>25</v>
      </c>
      <c r="D31" s="2">
        <v>100</v>
      </c>
      <c r="E31" s="1"/>
      <c r="F31" s="1"/>
      <c r="G31" s="1"/>
      <c r="H31" s="2" t="s">
        <v>49</v>
      </c>
      <c r="I31" s="7">
        <f>I43</f>
        <v>2.5063815789473688E-2</v>
      </c>
      <c r="J31" s="7">
        <f>J43</f>
        <v>2.2381578947368421E-3</v>
      </c>
      <c r="K31" s="7">
        <f>K43</f>
        <v>7.9934210526315792E-5</v>
      </c>
      <c r="L31" s="2"/>
      <c r="M31" s="2"/>
      <c r="N31" s="1"/>
      <c r="O31" s="2" t="s">
        <v>26</v>
      </c>
      <c r="P31" s="2">
        <v>3</v>
      </c>
      <c r="Q31" s="2" t="s">
        <v>36</v>
      </c>
      <c r="R31" s="2" t="s">
        <v>28</v>
      </c>
      <c r="S31" s="2" t="s">
        <v>28</v>
      </c>
      <c r="T31" s="2" t="s">
        <v>36</v>
      </c>
      <c r="U31" s="2" t="s">
        <v>28</v>
      </c>
      <c r="V31" s="3">
        <f t="shared" si="1"/>
        <v>7803</v>
      </c>
      <c r="W31" s="6">
        <f t="shared" si="2"/>
        <v>2.5667763157894738E-3</v>
      </c>
      <c r="X31" s="2">
        <f t="shared" si="3"/>
        <v>2</v>
      </c>
      <c r="Y31" s="6">
        <f t="shared" si="4"/>
        <v>5.1335526315789476E-3</v>
      </c>
    </row>
    <row r="32" spans="1:25">
      <c r="A32" s="2" t="s">
        <v>16</v>
      </c>
      <c r="B32" s="2">
        <v>5</v>
      </c>
      <c r="C32" s="2">
        <v>20</v>
      </c>
      <c r="D32" s="2">
        <v>75</v>
      </c>
      <c r="E32" s="1"/>
      <c r="F32" s="1"/>
      <c r="G32" s="1"/>
      <c r="H32" s="2" t="s">
        <v>50</v>
      </c>
      <c r="I32" s="8">
        <f>I29*$I$34</f>
        <v>14.001860773602807</v>
      </c>
      <c r="J32" s="8">
        <f>J29*$I$34</f>
        <v>21.002791160404211</v>
      </c>
      <c r="K32" s="8">
        <f>K29*$I$34</f>
        <v>28.003721547205615</v>
      </c>
      <c r="L32" s="2"/>
      <c r="M32" s="2"/>
      <c r="N32" s="1"/>
      <c r="O32" s="2" t="s">
        <v>26</v>
      </c>
      <c r="P32" s="2">
        <v>3</v>
      </c>
      <c r="Q32" s="2" t="s">
        <v>36</v>
      </c>
      <c r="R32" s="2" t="s">
        <v>28</v>
      </c>
      <c r="S32" s="2" t="s">
        <v>36</v>
      </c>
      <c r="T32" s="2" t="s">
        <v>28</v>
      </c>
      <c r="U32" s="2" t="s">
        <v>28</v>
      </c>
      <c r="V32" s="3">
        <f t="shared" si="1"/>
        <v>7803</v>
      </c>
      <c r="W32" s="6">
        <f t="shared" si="2"/>
        <v>2.5667763157894738E-3</v>
      </c>
      <c r="X32" s="2">
        <f t="shared" si="3"/>
        <v>2</v>
      </c>
      <c r="Y32" s="6">
        <f t="shared" si="4"/>
        <v>5.1335526315789476E-3</v>
      </c>
    </row>
    <row r="33" spans="1:25">
      <c r="A33" s="2" t="s">
        <v>18</v>
      </c>
      <c r="B33" s="2">
        <v>5</v>
      </c>
      <c r="C33" s="2">
        <v>20</v>
      </c>
      <c r="D33" s="2">
        <v>75</v>
      </c>
      <c r="E33" s="1"/>
      <c r="F33" s="1"/>
      <c r="G33" s="1"/>
      <c r="H33" s="2" t="s">
        <v>14</v>
      </c>
      <c r="I33" s="6">
        <f>I30*I32*$Q$5</f>
        <v>0.34919935812810343</v>
      </c>
      <c r="J33" s="6">
        <f>J30*J32*$Q$5</f>
        <v>4.6217562105190152E-2</v>
      </c>
      <c r="K33" s="6">
        <f>K30*K32*$Q$5</f>
        <v>2.1749440990677721E-3</v>
      </c>
      <c r="L33" s="2"/>
      <c r="M33" s="2"/>
      <c r="N33" s="1"/>
      <c r="O33" s="2" t="s">
        <v>26</v>
      </c>
      <c r="P33" s="2">
        <v>3</v>
      </c>
      <c r="Q33" s="2" t="s">
        <v>36</v>
      </c>
      <c r="R33" s="2" t="s">
        <v>36</v>
      </c>
      <c r="S33" s="2" t="s">
        <v>28</v>
      </c>
      <c r="T33" s="2" t="s">
        <v>28</v>
      </c>
      <c r="U33" s="2" t="s">
        <v>28</v>
      </c>
      <c r="V33" s="3">
        <f t="shared" si="1"/>
        <v>7803</v>
      </c>
      <c r="W33" s="6">
        <f t="shared" si="2"/>
        <v>2.5667763157894738E-3</v>
      </c>
      <c r="X33" s="2">
        <f t="shared" si="3"/>
        <v>2</v>
      </c>
      <c r="Y33" s="6">
        <f t="shared" si="4"/>
        <v>5.1335526315789476E-3</v>
      </c>
    </row>
    <row r="34" spans="1:25">
      <c r="A34" s="2" t="s">
        <v>23</v>
      </c>
      <c r="B34" s="2">
        <v>5</v>
      </c>
      <c r="C34" s="2">
        <v>10</v>
      </c>
      <c r="D34" s="2">
        <v>50</v>
      </c>
      <c r="E34" s="1"/>
      <c r="F34" s="1"/>
      <c r="G34" s="1"/>
      <c r="H34" s="2" t="s">
        <v>51</v>
      </c>
      <c r="I34" s="9">
        <f>1/(1-SUMPRODUCT(I31:K31,I29:K29))</f>
        <v>1.4001860773602808</v>
      </c>
      <c r="J34" s="2"/>
      <c r="K34" s="2"/>
      <c r="L34" s="2"/>
      <c r="M34" s="2"/>
      <c r="N34" s="1"/>
      <c r="O34" s="2" t="s">
        <v>26</v>
      </c>
      <c r="P34" s="2">
        <v>4</v>
      </c>
      <c r="Q34" s="2" t="s">
        <v>28</v>
      </c>
      <c r="R34" s="2" t="s">
        <v>28</v>
      </c>
      <c r="S34" s="2" t="s">
        <v>28</v>
      </c>
      <c r="T34" s="2" t="s">
        <v>28</v>
      </c>
      <c r="U34" s="2" t="s">
        <v>36</v>
      </c>
      <c r="V34" s="3">
        <f t="shared" si="1"/>
        <v>1296</v>
      </c>
      <c r="W34" s="6">
        <f t="shared" si="2"/>
        <v>4.2631578947368421E-4</v>
      </c>
      <c r="X34" s="2">
        <f t="shared" si="3"/>
        <v>2</v>
      </c>
      <c r="Y34" s="6">
        <f t="shared" si="4"/>
        <v>8.5263157894736841E-4</v>
      </c>
    </row>
    <row r="35" spans="1:25">
      <c r="A35" s="2" t="s">
        <v>26</v>
      </c>
      <c r="B35" s="2">
        <v>2</v>
      </c>
      <c r="C35" s="2">
        <v>2</v>
      </c>
      <c r="D35" s="2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2" t="s">
        <v>26</v>
      </c>
      <c r="P35" s="2">
        <v>4</v>
      </c>
      <c r="Q35" s="2" t="s">
        <v>28</v>
      </c>
      <c r="R35" s="2" t="s">
        <v>28</v>
      </c>
      <c r="S35" s="2" t="s">
        <v>28</v>
      </c>
      <c r="T35" s="2" t="s">
        <v>36</v>
      </c>
      <c r="U35" s="2" t="s">
        <v>28</v>
      </c>
      <c r="V35" s="3">
        <f t="shared" si="1"/>
        <v>1377</v>
      </c>
      <c r="W35" s="6">
        <f t="shared" si="2"/>
        <v>4.5296052631578948E-4</v>
      </c>
      <c r="X35" s="2">
        <f t="shared" si="3"/>
        <v>2</v>
      </c>
      <c r="Y35" s="6">
        <f t="shared" si="4"/>
        <v>9.0592105263157896E-4</v>
      </c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 t="s">
        <v>26</v>
      </c>
      <c r="P36" s="2">
        <v>4</v>
      </c>
      <c r="Q36" s="2" t="s">
        <v>28</v>
      </c>
      <c r="R36" s="2" t="s">
        <v>28</v>
      </c>
      <c r="S36" s="2" t="s">
        <v>36</v>
      </c>
      <c r="T36" s="2" t="s">
        <v>28</v>
      </c>
      <c r="U36" s="2" t="s">
        <v>28</v>
      </c>
      <c r="V36" s="3">
        <f t="shared" si="1"/>
        <v>1377</v>
      </c>
      <c r="W36" s="6">
        <f t="shared" si="2"/>
        <v>4.5296052631578948E-4</v>
      </c>
      <c r="X36" s="2">
        <f t="shared" si="3"/>
        <v>2</v>
      </c>
      <c r="Y36" s="6">
        <f t="shared" si="4"/>
        <v>9.0592105263157896E-4</v>
      </c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 t="s">
        <v>26</v>
      </c>
      <c r="P37" s="2">
        <v>4</v>
      </c>
      <c r="Q37" s="2" t="s">
        <v>28</v>
      </c>
      <c r="R37" s="2" t="s">
        <v>36</v>
      </c>
      <c r="S37" s="2" t="s">
        <v>28</v>
      </c>
      <c r="T37" s="2" t="s">
        <v>28</v>
      </c>
      <c r="U37" s="2" t="s">
        <v>28</v>
      </c>
      <c r="V37" s="3">
        <f t="shared" si="1"/>
        <v>1377</v>
      </c>
      <c r="W37" s="6">
        <f t="shared" si="2"/>
        <v>4.5296052631578948E-4</v>
      </c>
      <c r="X37" s="2">
        <f t="shared" si="3"/>
        <v>2</v>
      </c>
      <c r="Y37" s="6">
        <f t="shared" si="4"/>
        <v>9.0592105263157896E-4</v>
      </c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 t="s">
        <v>26</v>
      </c>
      <c r="P38" s="2">
        <v>4</v>
      </c>
      <c r="Q38" s="2" t="s">
        <v>36</v>
      </c>
      <c r="R38" s="2" t="s">
        <v>28</v>
      </c>
      <c r="S38" s="2" t="s">
        <v>28</v>
      </c>
      <c r="T38" s="2" t="s">
        <v>28</v>
      </c>
      <c r="U38" s="2" t="s">
        <v>28</v>
      </c>
      <c r="V38" s="3">
        <f t="shared" si="1"/>
        <v>1377</v>
      </c>
      <c r="W38" s="6">
        <f t="shared" si="2"/>
        <v>4.5296052631578948E-4</v>
      </c>
      <c r="X38" s="2">
        <f t="shared" si="3"/>
        <v>2</v>
      </c>
      <c r="Y38" s="6">
        <f t="shared" si="4"/>
        <v>9.0592105263157896E-4</v>
      </c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 t="s">
        <v>26</v>
      </c>
      <c r="P39" s="2">
        <v>5</v>
      </c>
      <c r="Q39" s="2" t="s">
        <v>28</v>
      </c>
      <c r="R39" s="2" t="s">
        <v>28</v>
      </c>
      <c r="S39" s="2" t="s">
        <v>28</v>
      </c>
      <c r="T39" s="2" t="s">
        <v>28</v>
      </c>
      <c r="U39" s="2" t="s">
        <v>28</v>
      </c>
      <c r="V39" s="3">
        <f t="shared" si="1"/>
        <v>243</v>
      </c>
      <c r="W39" s="6">
        <f t="shared" si="2"/>
        <v>7.9934210526315792E-5</v>
      </c>
      <c r="X39" s="2">
        <f t="shared" si="3"/>
        <v>2</v>
      </c>
      <c r="Y39" s="6">
        <f t="shared" si="4"/>
        <v>1.5986842105263158E-4</v>
      </c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6" t="s">
        <v>41</v>
      </c>
      <c r="I41" s="16" t="s">
        <v>41</v>
      </c>
      <c r="J41" s="16" t="s">
        <v>41</v>
      </c>
      <c r="K41" s="16" t="s">
        <v>41</v>
      </c>
      <c r="L41" s="16" t="s">
        <v>41</v>
      </c>
      <c r="M41" s="16" t="s">
        <v>41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4" t="s">
        <v>42</v>
      </c>
      <c r="I42" s="4">
        <v>3</v>
      </c>
      <c r="J42" s="4">
        <v>4</v>
      </c>
      <c r="K42" s="4">
        <v>5</v>
      </c>
      <c r="L42" s="4" t="s">
        <v>43</v>
      </c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2" t="s">
        <v>44</v>
      </c>
      <c r="I43" s="7">
        <f>SUMIFS($W$9:$W$39,$O$9:$O$39,"S",$P$9:$P$39,3)</f>
        <v>2.5063815789473688E-2</v>
      </c>
      <c r="J43" s="7">
        <f>SUMIFS($W$9:$W$39,$O$9:$O$39,"S",$P$9:$P$39,4)</f>
        <v>2.2381578947368421E-3</v>
      </c>
      <c r="K43" s="7">
        <f>SUMIFS($W$9:$W$39,$O$9:$O$39,"S",$P$9:$P$39,5)</f>
        <v>7.9934210526315792E-5</v>
      </c>
      <c r="L43" s="7">
        <f>SUM(I43:K43)</f>
        <v>2.7381907894736844E-2</v>
      </c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</sheetData>
  <mergeCells count="7">
    <mergeCell ref="H41:M41"/>
    <mergeCell ref="A1:R1"/>
    <mergeCell ref="A3:F3"/>
    <mergeCell ref="A28:F28"/>
    <mergeCell ref="H3:M3"/>
    <mergeCell ref="O7:Y7"/>
    <mergeCell ref="H27:M2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workbookViewId="0">
      <selection activeCell="C17" sqref="C17"/>
    </sheetView>
  </sheetViews>
  <sheetFormatPr defaultRowHeight="14.25"/>
  <cols>
    <col min="1" max="1" width="20" customWidth="1"/>
    <col min="2" max="2" width="17" customWidth="1"/>
    <col min="3" max="3" width="34" customWidth="1"/>
    <col min="4" max="5" width="17" customWidth="1"/>
    <col min="6" max="6" width="26" customWidth="1"/>
    <col min="7" max="7" width="34" customWidth="1"/>
  </cols>
  <sheetData>
    <row r="1" spans="1:7" ht="26.1" customHeight="1">
      <c r="A1" s="19" t="s">
        <v>52</v>
      </c>
      <c r="B1" s="19"/>
      <c r="C1" s="19"/>
      <c r="D1" s="19"/>
      <c r="E1" s="19"/>
      <c r="F1" s="20"/>
      <c r="G1" s="20"/>
    </row>
    <row r="2" spans="1:7">
      <c r="A2" s="10"/>
      <c r="B2" s="10"/>
      <c r="C2" s="10"/>
      <c r="D2" s="10"/>
      <c r="E2" s="10"/>
    </row>
    <row r="3" spans="1:7">
      <c r="A3" s="13" t="s">
        <v>53</v>
      </c>
      <c r="B3" s="13" t="s">
        <v>54</v>
      </c>
      <c r="C3" s="13" t="s">
        <v>55</v>
      </c>
      <c r="D3" s="13" t="s">
        <v>56</v>
      </c>
      <c r="E3" s="13" t="s">
        <v>43</v>
      </c>
    </row>
    <row r="4" spans="1:7">
      <c r="A4" s="11" t="s">
        <v>57</v>
      </c>
      <c r="B4" s="12">
        <f>免費遊戲!I33</f>
        <v>0.34919935812810343</v>
      </c>
      <c r="C4" s="12">
        <f>免費遊戲!J33</f>
        <v>4.6217562105190152E-2</v>
      </c>
      <c r="D4" s="12">
        <f>免費遊戲!K33</f>
        <v>2.1749440990677721E-3</v>
      </c>
      <c r="E4" s="12">
        <f>SUM(B4:D4)</f>
        <v>0.39759186433236132</v>
      </c>
    </row>
    <row r="5" spans="1:7">
      <c r="A5" s="10"/>
      <c r="B5" s="10"/>
      <c r="C5" s="10"/>
      <c r="D5" s="10"/>
      <c r="E5" s="10"/>
    </row>
    <row r="6" spans="1:7">
      <c r="A6" s="21" t="s">
        <v>58</v>
      </c>
      <c r="B6" s="21"/>
      <c r="C6" s="21"/>
      <c r="D6" s="21"/>
      <c r="E6" s="21"/>
    </row>
    <row r="7" spans="1:7">
      <c r="A7" s="22" t="s">
        <v>59</v>
      </c>
      <c r="B7" s="22"/>
      <c r="C7" s="22"/>
      <c r="D7" s="22"/>
      <c r="E7" s="22"/>
    </row>
    <row r="8" spans="1:7">
      <c r="A8" s="10"/>
      <c r="B8" s="10"/>
      <c r="C8" s="10"/>
      <c r="D8" s="10"/>
      <c r="E8" s="10"/>
    </row>
    <row r="9" spans="1:7">
      <c r="A9" s="10"/>
      <c r="B9" s="10"/>
      <c r="C9" s="10"/>
      <c r="D9" s="10"/>
      <c r="E9" s="10"/>
    </row>
    <row r="10" spans="1:7">
      <c r="A10" s="13" t="s">
        <v>60</v>
      </c>
      <c r="B10" s="13" t="s">
        <v>61</v>
      </c>
      <c r="C10" s="13" t="s">
        <v>58</v>
      </c>
      <c r="D10" s="10"/>
      <c r="E10" s="10"/>
    </row>
    <row r="11" spans="1:7">
      <c r="A11" s="11" t="s">
        <v>62</v>
      </c>
      <c r="B11" s="12">
        <f>主遊戲!Q5</f>
        <v>0.65004249999999975</v>
      </c>
      <c r="C11" s="11" t="s">
        <v>63</v>
      </c>
      <c r="D11" s="10"/>
      <c r="E11" s="10"/>
    </row>
    <row r="12" spans="1:7">
      <c r="A12" s="11" t="s">
        <v>53</v>
      </c>
      <c r="B12" s="12">
        <f>E4</f>
        <v>0.39759186433236132</v>
      </c>
      <c r="C12" s="11" t="s">
        <v>64</v>
      </c>
      <c r="D12" s="10"/>
      <c r="E12" s="10"/>
    </row>
    <row r="13" spans="1:7">
      <c r="A13" s="14" t="s">
        <v>60</v>
      </c>
      <c r="B13" s="12">
        <f>B11+B12</f>
        <v>1.0476343643323611</v>
      </c>
      <c r="C13" s="11" t="s">
        <v>65</v>
      </c>
      <c r="D13" s="10"/>
      <c r="E13" s="10"/>
    </row>
    <row r="14" spans="1:7">
      <c r="A14" s="10"/>
      <c r="B14" s="10"/>
      <c r="C14" s="10"/>
      <c r="D14" s="10"/>
      <c r="E14" s="10"/>
    </row>
    <row r="15" spans="1:7">
      <c r="A15" s="10"/>
      <c r="B15" s="10"/>
      <c r="C15" s="10"/>
      <c r="D15" s="10"/>
      <c r="E15" s="10"/>
    </row>
    <row r="16" spans="1:7">
      <c r="A16" s="10"/>
      <c r="B16" s="10"/>
      <c r="C16" s="10"/>
      <c r="D16" s="10"/>
      <c r="E16" s="10"/>
    </row>
    <row r="17" spans="1:5">
      <c r="A17" s="10"/>
      <c r="B17" s="10"/>
      <c r="C17" s="10"/>
      <c r="D17" s="10"/>
      <c r="E17" s="10"/>
    </row>
    <row r="18" spans="1:5">
      <c r="A18" s="10"/>
      <c r="B18" s="10"/>
      <c r="C18" s="10"/>
      <c r="D18" s="10"/>
      <c r="E18" s="10"/>
    </row>
    <row r="19" spans="1:5">
      <c r="A19" s="10"/>
      <c r="B19" s="10"/>
      <c r="C19" s="10"/>
      <c r="D19" s="10"/>
      <c r="E19" s="10"/>
    </row>
    <row r="20" spans="1:5">
      <c r="A20" s="10"/>
      <c r="B20" s="10"/>
      <c r="C20" s="10"/>
      <c r="D20" s="10"/>
      <c r="E20" s="10"/>
    </row>
  </sheetData>
  <mergeCells count="3">
    <mergeCell ref="A1:G1"/>
    <mergeCell ref="A6:E6"/>
    <mergeCell ref="A7:E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主遊戲</vt:lpstr>
      <vt:lpstr>免費遊戲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黃天宇</dc:creator>
  <cp:lastModifiedBy>黃天宇</cp:lastModifiedBy>
  <dcterms:created xsi:type="dcterms:W3CDTF">2026-07-09T18:00:10Z</dcterms:created>
  <dcterms:modified xsi:type="dcterms:W3CDTF">2026-07-09T18:00:10Z</dcterms:modified>
</cp:coreProperties>
</file>