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Obsidian\SlotDesign\"/>
    </mc:Choice>
  </mc:AlternateContent>
  <bookViews>
    <workbookView xWindow="0" yWindow="0" windowWidth="21570" windowHeight="11445" activeTab="2"/>
  </bookViews>
  <sheets>
    <sheet name="Overview" sheetId="1" r:id="rId1"/>
    <sheet name="Inputs" sheetId="2" r:id="rId2"/>
    <sheet name="Single Round" sheetId="3" r:id="rId3"/>
    <sheet name="Level Prob" sheetId="4" r:id="rId4"/>
    <sheet name="Multi Round B1" sheetId="5" r:id="rId5"/>
    <sheet name="Notes" sheetId="6" r:id="rId6"/>
  </sheets>
  <calcPr calcId="162913" forceFullCalc="1"/>
</workbook>
</file>

<file path=xl/calcChain.xml><?xml version="1.0" encoding="utf-8"?>
<calcChain xmlns="http://schemas.openxmlformats.org/spreadsheetml/2006/main">
  <c r="H32" i="5" l="1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L15" i="5"/>
  <c r="M15" i="5"/>
  <c r="N15" i="5"/>
  <c r="O15" i="5"/>
  <c r="P15" i="5"/>
  <c r="Q15" i="5"/>
  <c r="R15" i="5"/>
  <c r="S15" i="5"/>
  <c r="T15" i="5"/>
  <c r="U15" i="5"/>
  <c r="V15" i="5"/>
  <c r="W15" i="5"/>
  <c r="M16" i="5"/>
  <c r="N16" i="5"/>
  <c r="O16" i="5"/>
  <c r="P16" i="5"/>
  <c r="Q16" i="5"/>
  <c r="R16" i="5"/>
  <c r="S16" i="5"/>
  <c r="T16" i="5"/>
  <c r="U16" i="5"/>
  <c r="V16" i="5"/>
  <c r="W16" i="5"/>
  <c r="N17" i="5"/>
  <c r="O17" i="5"/>
  <c r="P17" i="5"/>
  <c r="Q17" i="5"/>
  <c r="R17" i="5"/>
  <c r="S17" i="5"/>
  <c r="T17" i="5"/>
  <c r="U17" i="5"/>
  <c r="V17" i="5"/>
  <c r="W17" i="5"/>
  <c r="O18" i="5"/>
  <c r="P18" i="5"/>
  <c r="Q18" i="5"/>
  <c r="R18" i="5"/>
  <c r="S18" i="5"/>
  <c r="T18" i="5"/>
  <c r="U18" i="5"/>
  <c r="V18" i="5"/>
  <c r="W18" i="5"/>
  <c r="P19" i="5"/>
  <c r="Q19" i="5"/>
  <c r="R19" i="5"/>
  <c r="S19" i="5"/>
  <c r="T19" i="5"/>
  <c r="U19" i="5"/>
  <c r="V19" i="5"/>
  <c r="W19" i="5"/>
  <c r="Q20" i="5"/>
  <c r="R20" i="5"/>
  <c r="S20" i="5"/>
  <c r="T20" i="5"/>
  <c r="U20" i="5"/>
  <c r="V20" i="5"/>
  <c r="W20" i="5"/>
  <c r="R21" i="5"/>
  <c r="S21" i="5"/>
  <c r="T21" i="5"/>
  <c r="U21" i="5"/>
  <c r="V21" i="5"/>
  <c r="W21" i="5"/>
  <c r="S22" i="5"/>
  <c r="T22" i="5"/>
  <c r="U22" i="5"/>
  <c r="V22" i="5"/>
  <c r="W22" i="5"/>
  <c r="T23" i="5"/>
  <c r="U23" i="5"/>
  <c r="V23" i="5"/>
  <c r="W23" i="5"/>
  <c r="U24" i="5"/>
  <c r="V24" i="5"/>
  <c r="W24" i="5"/>
  <c r="V25" i="5"/>
  <c r="W25" i="5"/>
  <c r="W26" i="5"/>
  <c r="D27" i="5" l="1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B7" i="5"/>
  <c r="B5" i="5"/>
  <c r="B4" i="5"/>
  <c r="C9" i="4"/>
  <c r="B9" i="4"/>
  <c r="A9" i="4"/>
  <c r="C8" i="4"/>
  <c r="B8" i="4"/>
  <c r="A8" i="4"/>
  <c r="C7" i="4"/>
  <c r="B7" i="4"/>
  <c r="H7" i="4" s="1"/>
  <c r="A7" i="4"/>
  <c r="C6" i="4"/>
  <c r="B6" i="4"/>
  <c r="A6" i="4"/>
  <c r="C5" i="4"/>
  <c r="B5" i="4"/>
  <c r="A5" i="4"/>
  <c r="C4" i="4"/>
  <c r="F4" i="4" s="1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G8" i="4" l="1"/>
  <c r="H8" i="4"/>
  <c r="H12" i="5"/>
  <c r="H14" i="5"/>
  <c r="H16" i="5"/>
  <c r="H18" i="5"/>
  <c r="H20" i="5"/>
  <c r="H22" i="5"/>
  <c r="H24" i="5"/>
  <c r="H26" i="5"/>
  <c r="J18" i="5"/>
  <c r="J22" i="5"/>
  <c r="K18" i="5"/>
  <c r="K26" i="5"/>
  <c r="L20" i="5"/>
  <c r="L26" i="5"/>
  <c r="M26" i="5"/>
  <c r="N22" i="5"/>
  <c r="O26" i="5"/>
  <c r="P20" i="5"/>
  <c r="Q26" i="5"/>
  <c r="S24" i="5"/>
  <c r="T26" i="5"/>
  <c r="H27" i="5"/>
  <c r="I17" i="5"/>
  <c r="J21" i="5"/>
  <c r="K15" i="5"/>
  <c r="L23" i="5"/>
  <c r="M27" i="5"/>
  <c r="Q21" i="5"/>
  <c r="I14" i="5"/>
  <c r="I16" i="5"/>
  <c r="I18" i="5"/>
  <c r="I20" i="5"/>
  <c r="I22" i="5"/>
  <c r="I24" i="5"/>
  <c r="I26" i="5"/>
  <c r="J16" i="5"/>
  <c r="J20" i="5"/>
  <c r="J26" i="5"/>
  <c r="K16" i="5"/>
  <c r="K22" i="5"/>
  <c r="L22" i="5"/>
  <c r="M20" i="5"/>
  <c r="N20" i="5"/>
  <c r="O24" i="5"/>
  <c r="P26" i="5"/>
  <c r="Q24" i="5"/>
  <c r="U26" i="5"/>
  <c r="H25" i="5"/>
  <c r="I21" i="5"/>
  <c r="I27" i="5"/>
  <c r="J17" i="5"/>
  <c r="J27" i="5"/>
  <c r="L27" i="5"/>
  <c r="P23" i="5"/>
  <c r="S25" i="5"/>
  <c r="U27" i="5"/>
  <c r="J14" i="5"/>
  <c r="J24" i="5"/>
  <c r="K24" i="5"/>
  <c r="L18" i="5"/>
  <c r="L24" i="5"/>
  <c r="M18" i="5"/>
  <c r="M24" i="5"/>
  <c r="N18" i="5"/>
  <c r="N26" i="5"/>
  <c r="P24" i="5"/>
  <c r="R26" i="5"/>
  <c r="S26" i="5"/>
  <c r="T24" i="5"/>
  <c r="V26" i="5"/>
  <c r="H17" i="5"/>
  <c r="I23" i="5"/>
  <c r="K27" i="5"/>
  <c r="L19" i="5"/>
  <c r="M19" i="5"/>
  <c r="N21" i="5"/>
  <c r="O23" i="5"/>
  <c r="P21" i="5"/>
  <c r="S23" i="5"/>
  <c r="T27" i="5"/>
  <c r="U25" i="5"/>
  <c r="K20" i="5"/>
  <c r="M22" i="5"/>
  <c r="N24" i="5"/>
  <c r="O20" i="5"/>
  <c r="R24" i="5"/>
  <c r="H23" i="5"/>
  <c r="I19" i="5"/>
  <c r="J19" i="5"/>
  <c r="J25" i="5"/>
  <c r="L17" i="5"/>
  <c r="M23" i="5"/>
  <c r="N19" i="5"/>
  <c r="Q27" i="5"/>
  <c r="R23" i="5"/>
  <c r="L16" i="5"/>
  <c r="O22" i="5"/>
  <c r="P22" i="5"/>
  <c r="R22" i="5"/>
  <c r="I15" i="5"/>
  <c r="J23" i="5"/>
  <c r="L25" i="5"/>
  <c r="M21" i="5"/>
  <c r="N23" i="5"/>
  <c r="O21" i="5"/>
  <c r="T25" i="5"/>
  <c r="Q22" i="5"/>
  <c r="H19" i="5"/>
  <c r="I25" i="5"/>
  <c r="J15" i="5"/>
  <c r="K25" i="5"/>
  <c r="L21" i="5"/>
  <c r="M17" i="5"/>
  <c r="O19" i="5"/>
  <c r="P27" i="5"/>
  <c r="Q25" i="5"/>
  <c r="R25" i="5"/>
  <c r="S27" i="5"/>
  <c r="H15" i="5"/>
  <c r="K23" i="5"/>
  <c r="N27" i="5"/>
  <c r="W27" i="5"/>
  <c r="H13" i="5"/>
  <c r="K19" i="5"/>
  <c r="N25" i="5"/>
  <c r="O27" i="5"/>
  <c r="P25" i="5"/>
  <c r="Q23" i="5"/>
  <c r="I13" i="5"/>
  <c r="O25" i="5"/>
  <c r="H21" i="5"/>
  <c r="K17" i="5"/>
  <c r="M25" i="5"/>
  <c r="V27" i="5"/>
  <c r="K21" i="5"/>
  <c r="R27" i="5"/>
  <c r="H5" i="4"/>
  <c r="F8" i="4"/>
  <c r="H6" i="4"/>
  <c r="H9" i="4"/>
  <c r="B6" i="5"/>
  <c r="B18" i="5" s="1"/>
  <c r="B38" i="5" s="1"/>
  <c r="E4" i="4"/>
  <c r="D4" i="4"/>
  <c r="G4" i="4"/>
  <c r="F7" i="4"/>
  <c r="H4" i="4"/>
  <c r="D21" i="3"/>
  <c r="E21" i="3"/>
  <c r="B21" i="3"/>
  <c r="C21" i="3"/>
  <c r="F21" i="3"/>
  <c r="D8" i="4"/>
  <c r="D7" i="4"/>
  <c r="E8" i="4"/>
  <c r="C14" i="5"/>
  <c r="D5" i="4"/>
  <c r="D9" i="4"/>
  <c r="E5" i="4"/>
  <c r="E9" i="4"/>
  <c r="F5" i="4"/>
  <c r="F9" i="4"/>
  <c r="G5" i="4"/>
  <c r="G9" i="4"/>
  <c r="D6" i="4"/>
  <c r="E6" i="4"/>
  <c r="F6" i="4"/>
  <c r="G6" i="4"/>
  <c r="E7" i="4"/>
  <c r="G7" i="4"/>
  <c r="I33" i="5" l="1"/>
  <c r="I35" i="5"/>
  <c r="I46" i="5"/>
  <c r="I43" i="5"/>
  <c r="I39" i="5"/>
  <c r="I37" i="5"/>
  <c r="I44" i="5"/>
  <c r="I42" i="5"/>
  <c r="I40" i="5"/>
  <c r="I38" i="5"/>
  <c r="I45" i="5"/>
  <c r="I41" i="5"/>
  <c r="I36" i="5"/>
  <c r="I34" i="5"/>
  <c r="I32" i="5"/>
  <c r="I47" i="5"/>
  <c r="B12" i="5"/>
  <c r="B32" i="5" s="1"/>
  <c r="C21" i="5"/>
  <c r="C17" i="5"/>
  <c r="C22" i="5"/>
  <c r="C27" i="5"/>
  <c r="B27" i="5"/>
  <c r="B47" i="5" s="1"/>
  <c r="B17" i="5"/>
  <c r="B37" i="5" s="1"/>
  <c r="B22" i="5"/>
  <c r="B42" i="5" s="1"/>
  <c r="C15" i="5"/>
  <c r="B16" i="5"/>
  <c r="B36" i="5" s="1"/>
  <c r="C18" i="5"/>
  <c r="B13" i="5"/>
  <c r="B33" i="5" s="1"/>
  <c r="C13" i="5"/>
  <c r="B24" i="5"/>
  <c r="B44" i="5" s="1"/>
  <c r="C19" i="5"/>
  <c r="B20" i="5"/>
  <c r="B40" i="5" s="1"/>
  <c r="C12" i="5"/>
  <c r="B15" i="5"/>
  <c r="B35" i="5" s="1"/>
  <c r="B19" i="5"/>
  <c r="B39" i="5" s="1"/>
  <c r="B25" i="5"/>
  <c r="B45" i="5" s="1"/>
  <c r="C25" i="5"/>
  <c r="C20" i="5"/>
  <c r="C26" i="5"/>
  <c r="B21" i="5"/>
  <c r="B41" i="5" s="1"/>
  <c r="B26" i="5"/>
  <c r="B46" i="5" s="1"/>
  <c r="C23" i="5"/>
  <c r="C16" i="5"/>
  <c r="B14" i="5"/>
  <c r="B34" i="5" s="1"/>
  <c r="B23" i="5"/>
  <c r="B43" i="5" s="1"/>
  <c r="C24" i="5"/>
  <c r="J33" i="5" l="1"/>
  <c r="J36" i="5"/>
  <c r="J41" i="5"/>
  <c r="J39" i="5"/>
  <c r="J45" i="5"/>
  <c r="J38" i="5"/>
  <c r="J43" i="5"/>
  <c r="J46" i="5"/>
  <c r="J40" i="5"/>
  <c r="J35" i="5"/>
  <c r="J32" i="5"/>
  <c r="J42" i="5"/>
  <c r="J37" i="5"/>
  <c r="J47" i="5"/>
  <c r="J34" i="5"/>
  <c r="J44" i="5"/>
  <c r="K33" i="5" l="1"/>
  <c r="K44" i="5"/>
  <c r="K42" i="5"/>
  <c r="K32" i="5"/>
  <c r="K43" i="5"/>
  <c r="K39" i="5"/>
  <c r="K34" i="5"/>
  <c r="K35" i="5"/>
  <c r="K45" i="5"/>
  <c r="K40" i="5"/>
  <c r="K47" i="5"/>
  <c r="K46" i="5"/>
  <c r="K38" i="5"/>
  <c r="K41" i="5"/>
  <c r="K36" i="5"/>
  <c r="K37" i="5"/>
  <c r="L33" i="5" l="1"/>
  <c r="L34" i="5"/>
  <c r="L42" i="5"/>
  <c r="L35" i="5"/>
  <c r="L41" i="5"/>
  <c r="L32" i="5"/>
  <c r="L47" i="5"/>
  <c r="L46" i="5"/>
  <c r="L40" i="5"/>
  <c r="L45" i="5"/>
  <c r="L38" i="5"/>
  <c r="L43" i="5"/>
  <c r="L39" i="5"/>
  <c r="L36" i="5"/>
  <c r="L37" i="5"/>
  <c r="L44" i="5"/>
  <c r="M39" i="5" l="1"/>
  <c r="C39" i="5" s="1"/>
  <c r="D39" i="5" s="1"/>
  <c r="E39" i="5" s="1"/>
  <c r="M44" i="5"/>
  <c r="C44" i="5" s="1"/>
  <c r="D44" i="5" s="1"/>
  <c r="E44" i="5" s="1"/>
  <c r="M33" i="5"/>
  <c r="C33" i="5" s="1"/>
  <c r="D33" i="5" s="1"/>
  <c r="E33" i="5" s="1"/>
  <c r="M42" i="5"/>
  <c r="C42" i="5" s="1"/>
  <c r="D42" i="5" s="1"/>
  <c r="E42" i="5" s="1"/>
  <c r="M34" i="5"/>
  <c r="C34" i="5" s="1"/>
  <c r="D34" i="5" s="1"/>
  <c r="E34" i="5" s="1"/>
  <c r="M35" i="5"/>
  <c r="C35" i="5" s="1"/>
  <c r="D35" i="5" s="1"/>
  <c r="E35" i="5" s="1"/>
  <c r="M38" i="5"/>
  <c r="C38" i="5" s="1"/>
  <c r="D38" i="5" s="1"/>
  <c r="E38" i="5" s="1"/>
  <c r="M37" i="5"/>
  <c r="C37" i="5" s="1"/>
  <c r="D37" i="5" s="1"/>
  <c r="E37" i="5" s="1"/>
  <c r="M40" i="5"/>
  <c r="C40" i="5" s="1"/>
  <c r="D40" i="5" s="1"/>
  <c r="E40" i="5" s="1"/>
  <c r="M32" i="5"/>
  <c r="C32" i="5" s="1"/>
  <c r="D32" i="5" s="1"/>
  <c r="E32" i="5" s="1"/>
  <c r="M47" i="5"/>
  <c r="C47" i="5" s="1"/>
  <c r="D47" i="5" s="1"/>
  <c r="E47" i="5" s="1"/>
  <c r="M45" i="5"/>
  <c r="C45" i="5" s="1"/>
  <c r="D45" i="5" s="1"/>
  <c r="E45" i="5" s="1"/>
  <c r="M46" i="5"/>
  <c r="C46" i="5" s="1"/>
  <c r="D46" i="5" s="1"/>
  <c r="E46" i="5" s="1"/>
  <c r="M43" i="5"/>
  <c r="C43" i="5" s="1"/>
  <c r="D43" i="5" s="1"/>
  <c r="E43" i="5" s="1"/>
  <c r="M36" i="5"/>
  <c r="C36" i="5" s="1"/>
  <c r="D36" i="5" s="1"/>
  <c r="E36" i="5" s="1"/>
  <c r="M41" i="5"/>
  <c r="C41" i="5" s="1"/>
  <c r="D41" i="5" s="1"/>
  <c r="E41" i="5" s="1"/>
</calcChain>
</file>

<file path=xl/sharedStrings.xml><?xml version="1.0" encoding="utf-8"?>
<sst xmlns="http://schemas.openxmlformats.org/spreadsheetml/2006/main" count="136" uniqueCount="112">
  <si>
    <t>二項分配機率 - Excel 實作</t>
  </si>
  <si>
    <t>Source: https://ezslotdesign.com/binomial-distribution/</t>
  </si>
  <si>
    <t>工作簿結構</t>
  </si>
  <si>
    <t>Sheet</t>
  </si>
  <si>
    <t>用途</t>
  </si>
  <si>
    <t>Inputs</t>
  </si>
  <si>
    <t>箱子數、圖案機率、等級門檻、重開輪數等可調參數</t>
  </si>
  <si>
    <t>Single Round</t>
  </si>
  <si>
    <t>單輪開 15 格時，各圖案開到 0~15 個的二項分配</t>
  </si>
  <si>
    <t>Level Prob</t>
  </si>
  <si>
    <t>使用 BINOM.DIST.RANGE 計算各圖案得到 Level 1~5 的機率</t>
  </si>
  <si>
    <t>Multi Round B1</t>
  </si>
  <si>
    <t>B1 留下、非 B1 重開 5 輪的最終分布，含簡化法與轉移矩陣法</t>
  </si>
  <si>
    <t>Notes</t>
  </si>
  <si>
    <t>公式與觀念摘要</t>
  </si>
  <si>
    <t>核心公式</t>
  </si>
  <si>
    <t>二項分配</t>
  </si>
  <si>
    <t>P(X=k)=COMBIN(n,k) * p^k * (1-p)^(n-k)</t>
  </si>
  <si>
    <t>Excel 剛好 k 次</t>
  </si>
  <si>
    <t>=BINOM.DIST(k,n,p,FALSE)</t>
  </si>
  <si>
    <t>Excel 區間機率</t>
  </si>
  <si>
    <t>=BINOM.DIST.RANGE(n,p,lower,upper)</t>
  </si>
  <si>
    <t>多輪單格成功率</t>
  </si>
  <si>
    <t>q = 1 - (1-p)^rounds</t>
  </si>
  <si>
    <t>多輪最終 k 格</t>
  </si>
  <si>
    <t>BINOM.DIST(k,n,q,FALSE)</t>
  </si>
  <si>
    <t>轉移矩陣</t>
  </si>
  <si>
    <t>基本設定</t>
  </si>
  <si>
    <t>項目</t>
  </si>
  <si>
    <t>值</t>
  </si>
  <si>
    <t>說明</t>
  </si>
  <si>
    <t>箱子總數 n</t>
  </si>
  <si>
    <t>一次 Bonus 開啟的箱子數</t>
  </si>
  <si>
    <t>重開輪數</t>
  </si>
  <si>
    <t>B1 留下，非 B1 關起後重開的總輪數</t>
  </si>
  <si>
    <t>目標圖案</t>
  </si>
  <si>
    <t>B1</t>
  </si>
  <si>
    <t>多輪重開範例只收集 B1</t>
  </si>
  <si>
    <t>圖案機率</t>
  </si>
  <si>
    <t>Symbol</t>
  </si>
  <si>
    <t>B2</t>
  </si>
  <si>
    <t>B3</t>
  </si>
  <si>
    <t>B4</t>
  </si>
  <si>
    <t>B5</t>
  </si>
  <si>
    <t>Chance</t>
  </si>
  <si>
    <t>等級門檻</t>
  </si>
  <si>
    <t>Level</t>
  </si>
  <si>
    <t>L1</t>
  </si>
  <si>
    <t>L2</t>
  </si>
  <si>
    <t>L3</t>
  </si>
  <si>
    <t>L4</t>
  </si>
  <si>
    <t>L5</t>
  </si>
  <si>
    <t>Lower</t>
  </si>
  <si>
    <t>達到此個數可進入該等級</t>
  </si>
  <si>
    <t>Upper</t>
  </si>
  <si>
    <t>下一等級前一格；L5 為 15</t>
  </si>
  <si>
    <t>單輪 15 格：各圖案開到 0~15 個的機率</t>
  </si>
  <si>
    <t>個數 k</t>
  </si>
  <si>
    <t>Check Sum</t>
  </si>
  <si>
    <t>各圖案 Level 獎勵機率</t>
  </si>
  <si>
    <t>L0</t>
  </si>
  <si>
    <t>多輪重開：B1 留下，非 B1 最多重開 5 輪</t>
  </si>
  <si>
    <t>公式/值</t>
  </si>
  <si>
    <t>單輪 B1 機率 p</t>
  </si>
  <si>
    <t>引用 Inputs 的 B1 chance</t>
  </si>
  <si>
    <t>重開輪數 r</t>
  </si>
  <si>
    <t>引用 Inputs 的重開輪數</t>
  </si>
  <si>
    <t>單格最終成功率 q</t>
  </si>
  <si>
    <t>q = 1-(1-p)^r</t>
  </si>
  <si>
    <t>引用 Inputs 的箱子總數</t>
  </si>
  <si>
    <t>在本題簡化規則下，可先算單格 5 輪內至少一次開到 B1 的機率 q，再對 15 格跑二項分配。</t>
  </si>
  <si>
    <t>簡化法：X ~ Binomial(15, q)</t>
  </si>
  <si>
    <t>Final B1 個數 k</t>
  </si>
  <si>
    <t>簡化法機率</t>
  </si>
  <si>
    <t>累積機率</t>
  </si>
  <si>
    <t>備註</t>
  </si>
  <si>
    <t>簡化法 vs 矩陣法檢查</t>
  </si>
  <si>
    <t>矩陣法：各輪結束後 B1 個數分布</t>
  </si>
  <si>
    <t>k</t>
  </si>
  <si>
    <t>簡化法</t>
  </si>
  <si>
    <t>矩陣法 Round 5</t>
  </si>
  <si>
    <t>差異</t>
  </si>
  <si>
    <t>Check</t>
  </si>
  <si>
    <t>Final k</t>
  </si>
  <si>
    <t>Round 0</t>
  </si>
  <si>
    <t>Round 1</t>
  </si>
  <si>
    <t>Round 2</t>
  </si>
  <si>
    <t>Round 3</t>
  </si>
  <si>
    <t>Round 4</t>
  </si>
  <si>
    <t>Round 5</t>
  </si>
  <si>
    <t>公式說明</t>
  </si>
  <si>
    <t>固定 n 次獨立試驗，每次成功機率 p，計算成功 k 次的機率。</t>
  </si>
  <si>
    <t>單輪圖案個數</t>
  </si>
  <si>
    <t>對任一圖案 Bi，把開到 Bi 視為成功，未開到 Bi 視為失敗，即可用 BINOM.DIST。</t>
  </si>
  <si>
    <t>Level 機率</t>
  </si>
  <si>
    <t>Level 通常是個數區間，因此用 BINOM.DIST.RANGE 直接計算 lower 到 upper 的機率。</t>
  </si>
  <si>
    <t>圖案間關聯</t>
  </si>
  <si>
    <t>同一個箱子只能開出一種圖案，因此 B1~B5 的個數不是互相獨立；不能把各圖案剛好 k 個的二項機率直接相乘。</t>
  </si>
  <si>
    <t>多輪簡化</t>
  </si>
  <si>
    <t>若每格獨立、成功後保留、失敗才重開且每輪成功率固定，單格最終成功率 q = 1-(1-p)^r。</t>
  </si>
  <si>
    <t>多輪最終分布</t>
  </si>
  <si>
    <t>更通用的做法是把目前已收集 j 個 B1 視為來源狀態，M[i,j] 表示一輪後變成 i 個 B1 的機率，也就是從欄 j 轉到列 i。</t>
  </si>
  <si>
    <t>矩陣法優點</t>
  </si>
  <si>
    <t>若每輪機率不同、收集到某數量後改規則、中途停止、或有其他條件事件，轉移矩陣會比簡化二項法更通用。</t>
  </si>
  <si>
    <t>Excel 實作</t>
  </si>
  <si>
    <t>本 workbook 同時保留簡化法與轉移矩陣法，並在 Multi Round B1 內檢查兩者結果是否一致。</t>
  </si>
  <si>
    <t>資料來源</t>
  </si>
  <si>
    <t>https://ezslotdesign.com/binomial-distribution/</t>
  </si>
  <si>
    <t>轉移矩陣 M[to,from]</t>
    <phoneticPr fontId="6" type="noConversion"/>
  </si>
  <si>
    <t>To\From</t>
    <phoneticPr fontId="6" type="noConversion"/>
  </si>
  <si>
    <t>更通用的做法是把目前已收集 j 個 B1 視為來源狀態，M[i,j] 表示一輪後變成 i 個 B1 的機率，也就是從欄 j 轉到列 i。</t>
    <phoneticPr fontId="6" type="noConversion"/>
  </si>
  <si>
    <t>M[to,from] = P(next = to | current = from)，欄加總為 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</si>
</sst>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000000%"/>
    <numFmt numFmtId="177" formatCode="0.0000000000"/>
    <numFmt numFmtId="178" formatCode="0.0000%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000000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F3F8F2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 style="thin">
        <color rgb="FFA9B7A8"/>
      </top>
      <bottom style="thin">
        <color rgb="FFA9B7A8"/>
      </bottom>
      <diagonal/>
    </border>
    <border>
      <left/>
      <right style="thin">
        <color rgb="FFA9B7A8"/>
      </right>
      <top style="thin">
        <color rgb="FFA9B7A8"/>
      </top>
      <bottom style="thin">
        <color rgb="FFA9B7A8"/>
      </bottom>
      <diagonal/>
    </border>
    <border>
      <left style="thin">
        <color rgb="FFA9B7A8"/>
      </left>
      <right style="thin">
        <color rgb="FFA9B7A8"/>
      </right>
      <top style="thin">
        <color rgb="FFA9B7A8"/>
      </top>
      <bottom style="thin">
        <color rgb="FFA9B7A8"/>
      </bottom>
      <diagonal/>
    </border>
    <border>
      <left style="thin">
        <color rgb="FFA9B7A8"/>
      </left>
      <right style="thin">
        <color rgb="FFA9B7A8"/>
      </right>
      <top style="thin">
        <color rgb="FFA9B7A8"/>
      </top>
      <bottom style="thin">
        <color rgb="FFA9B7A8"/>
      </bottom>
      <diagonal/>
    </border>
    <border>
      <left/>
      <right/>
      <top/>
      <bottom/>
      <diagonal/>
    </border>
  </borders>
  <cellStyleXfs count="2">
    <xf numFmtId="0" fontId="0" fillId="0" borderId="5"/>
    <xf numFmtId="0" fontId="5" fillId="0" borderId="5"/>
  </cellStyleXfs>
  <cellXfs count="31">
    <xf numFmtId="0" fontId="0" fillId="0" borderId="0" xfId="0" applyBorder="1"/>
    <xf numFmtId="0" fontId="4" fillId="4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0" fillId="5" borderId="3" xfId="1" applyFont="1" applyFill="1" applyBorder="1" applyAlignment="1">
      <alignment vertical="center"/>
    </xf>
    <xf numFmtId="1" fontId="0" fillId="5" borderId="3" xfId="1" applyNumberFormat="1" applyFont="1" applyFill="1" applyBorder="1" applyAlignment="1">
      <alignment vertical="center"/>
    </xf>
    <xf numFmtId="10" fontId="0" fillId="5" borderId="3" xfId="1" applyNumberFormat="1" applyFont="1" applyFill="1" applyBorder="1" applyAlignment="1">
      <alignment vertical="center"/>
    </xf>
    <xf numFmtId="0" fontId="4" fillId="4" borderId="3" xfId="1" applyFont="1" applyFill="1" applyBorder="1" applyAlignment="1">
      <alignment vertical="center"/>
    </xf>
    <xf numFmtId="1" fontId="0" fillId="0" borderId="3" xfId="1" applyNumberFormat="1" applyFont="1" applyBorder="1" applyAlignment="1">
      <alignment vertical="center"/>
    </xf>
    <xf numFmtId="0" fontId="0" fillId="3" borderId="3" xfId="1" applyFont="1" applyFill="1" applyBorder="1" applyAlignment="1">
      <alignment vertical="center" wrapText="1"/>
    </xf>
    <xf numFmtId="0" fontId="0" fillId="3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vertical="top" wrapText="1"/>
    </xf>
    <xf numFmtId="0" fontId="4" fillId="4" borderId="4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center"/>
    </xf>
    <xf numFmtId="1" fontId="0" fillId="0" borderId="4" xfId="1" applyNumberFormat="1" applyFont="1" applyBorder="1" applyAlignment="1">
      <alignment vertical="center"/>
    </xf>
    <xf numFmtId="0" fontId="0" fillId="0" borderId="4" xfId="0" applyBorder="1"/>
    <xf numFmtId="1" fontId="0" fillId="0" borderId="4" xfId="0" applyNumberFormat="1" applyBorder="1"/>
    <xf numFmtId="0" fontId="0" fillId="0" borderId="5" xfId="0"/>
    <xf numFmtId="0" fontId="0" fillId="0" borderId="0" xfId="0" applyBorder="1"/>
    <xf numFmtId="176" fontId="0" fillId="0" borderId="3" xfId="1" applyNumberFormat="1" applyFont="1" applyBorder="1" applyAlignment="1">
      <alignment vertical="center"/>
    </xf>
    <xf numFmtId="176" fontId="0" fillId="0" borderId="0" xfId="0" applyNumberFormat="1" applyBorder="1"/>
    <xf numFmtId="177" fontId="0" fillId="0" borderId="3" xfId="1" applyNumberFormat="1" applyFont="1" applyBorder="1" applyAlignment="1">
      <alignment vertical="center"/>
    </xf>
    <xf numFmtId="176" fontId="0" fillId="0" borderId="4" xfId="1" applyNumberFormat="1" applyFont="1" applyBorder="1" applyAlignment="1">
      <alignment vertical="center"/>
    </xf>
    <xf numFmtId="176" fontId="0" fillId="0" borderId="4" xfId="0" applyNumberFormat="1" applyBorder="1"/>
    <xf numFmtId="178" fontId="0" fillId="0" borderId="3" xfId="1" applyNumberFormat="1" applyFont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3" borderId="5" xfId="1" applyFont="1" applyFill="1"/>
    <xf numFmtId="0" fontId="0" fillId="0" borderId="0" xfId="0" applyBorder="1"/>
    <xf numFmtId="0" fontId="1" fillId="2" borderId="5" xfId="1" applyFont="1" applyFill="1" applyAlignment="1">
      <alignment horizontal="left" vertical="center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selection sqref="A1:H1"/>
    </sheetView>
  </sheetViews>
  <sheetFormatPr defaultRowHeight="14.25"/>
  <cols>
    <col min="1" max="8" width="18" style="18" customWidth="1"/>
  </cols>
  <sheetData>
    <row r="1" spans="1:8" ht="16.7" customHeight="1">
      <c r="A1" s="30" t="s">
        <v>0</v>
      </c>
      <c r="B1" s="29"/>
      <c r="C1" s="29"/>
      <c r="D1" s="29"/>
      <c r="E1" s="29"/>
      <c r="F1" s="29"/>
      <c r="G1" s="29"/>
      <c r="H1" s="29"/>
    </row>
    <row r="2" spans="1:8" ht="15" customHeight="1">
      <c r="A2" s="28" t="s">
        <v>1</v>
      </c>
      <c r="B2" s="29"/>
      <c r="C2" s="29"/>
      <c r="D2" s="29"/>
      <c r="E2" s="29"/>
      <c r="F2" s="29"/>
      <c r="G2" s="29"/>
      <c r="H2" s="29"/>
    </row>
    <row r="4" spans="1:8" ht="15" customHeight="1">
      <c r="A4" s="25" t="s">
        <v>2</v>
      </c>
      <c r="B4" s="26"/>
      <c r="C4" s="26"/>
      <c r="D4" s="26"/>
      <c r="E4" s="26"/>
      <c r="F4" s="26"/>
      <c r="G4" s="26"/>
      <c r="H4" s="27"/>
    </row>
    <row r="5" spans="1:8" ht="15" customHeight="1">
      <c r="A5" s="1" t="s">
        <v>3</v>
      </c>
      <c r="B5" s="1" t="s">
        <v>4</v>
      </c>
    </row>
    <row r="6" spans="1:8" ht="15" customHeight="1">
      <c r="A6" s="2" t="s">
        <v>5</v>
      </c>
      <c r="B6" s="2" t="s">
        <v>6</v>
      </c>
    </row>
    <row r="7" spans="1:8" ht="15" customHeight="1">
      <c r="A7" s="2" t="s">
        <v>7</v>
      </c>
      <c r="B7" s="2" t="s">
        <v>8</v>
      </c>
    </row>
    <row r="8" spans="1:8" ht="15" customHeight="1">
      <c r="A8" s="2" t="s">
        <v>9</v>
      </c>
      <c r="B8" s="2" t="s">
        <v>10</v>
      </c>
    </row>
    <row r="9" spans="1:8" ht="15" customHeight="1">
      <c r="A9" s="2" t="s">
        <v>11</v>
      </c>
      <c r="B9" s="2" t="s">
        <v>12</v>
      </c>
    </row>
    <row r="10" spans="1:8" ht="15" customHeight="1">
      <c r="A10" s="2" t="s">
        <v>13</v>
      </c>
      <c r="B10" s="2" t="s">
        <v>14</v>
      </c>
    </row>
    <row r="12" spans="1:8" ht="15" customHeight="1">
      <c r="A12" s="25" t="s">
        <v>15</v>
      </c>
      <c r="B12" s="26"/>
      <c r="C12" s="26"/>
      <c r="D12" s="26"/>
      <c r="E12" s="26"/>
      <c r="F12" s="26"/>
      <c r="G12" s="26"/>
      <c r="H12" s="27"/>
    </row>
    <row r="13" spans="1:8" ht="15" customHeight="1">
      <c r="A13" s="3" t="s">
        <v>16</v>
      </c>
      <c r="B13" s="2" t="s">
        <v>17</v>
      </c>
    </row>
    <row r="14" spans="1:8" ht="15" customHeight="1">
      <c r="A14" s="3" t="s">
        <v>18</v>
      </c>
      <c r="B14" s="2" t="s">
        <v>19</v>
      </c>
    </row>
    <row r="15" spans="1:8" ht="15" customHeight="1">
      <c r="A15" s="3" t="s">
        <v>20</v>
      </c>
      <c r="B15" s="2" t="s">
        <v>21</v>
      </c>
    </row>
    <row r="16" spans="1:8" ht="15" customHeight="1">
      <c r="A16" s="3" t="s">
        <v>22</v>
      </c>
      <c r="B16" s="2" t="s">
        <v>23</v>
      </c>
    </row>
    <row r="17" spans="1:2" ht="15" customHeight="1">
      <c r="A17" s="3" t="s">
        <v>24</v>
      </c>
      <c r="B17" s="2" t="s">
        <v>25</v>
      </c>
    </row>
    <row r="18" spans="1:2" ht="15" customHeight="1">
      <c r="A18" s="3" t="s">
        <v>26</v>
      </c>
      <c r="B18" s="2" t="s">
        <v>111</v>
      </c>
    </row>
  </sheetData>
  <mergeCells count="4">
    <mergeCell ref="A12:H12"/>
    <mergeCell ref="A4:H4"/>
    <mergeCell ref="A2:H2"/>
    <mergeCell ref="A1:H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>
      <selection sqref="A1:I1"/>
    </sheetView>
  </sheetViews>
  <sheetFormatPr defaultRowHeight="14.25"/>
  <cols>
    <col min="1" max="1" width="18" style="18" customWidth="1"/>
    <col min="2" max="7" width="14" style="18" customWidth="1"/>
    <col min="8" max="9" width="18" style="18" customWidth="1"/>
  </cols>
  <sheetData>
    <row r="1" spans="1:9" ht="16.7" customHeight="1">
      <c r="A1" s="30" t="s">
        <v>5</v>
      </c>
      <c r="B1" s="29"/>
      <c r="C1" s="29"/>
      <c r="D1" s="29"/>
      <c r="E1" s="29"/>
      <c r="F1" s="29"/>
      <c r="G1" s="29"/>
      <c r="H1" s="29"/>
      <c r="I1" s="29"/>
    </row>
    <row r="2" spans="1:9" ht="15" customHeight="1">
      <c r="A2" s="28" t="s">
        <v>1</v>
      </c>
      <c r="B2" s="29"/>
      <c r="C2" s="29"/>
      <c r="D2" s="29"/>
      <c r="E2" s="29"/>
      <c r="F2" s="29"/>
      <c r="G2" s="29"/>
      <c r="H2" s="29"/>
      <c r="I2" s="29"/>
    </row>
    <row r="4" spans="1:9" ht="15" customHeight="1">
      <c r="A4" s="25" t="s">
        <v>27</v>
      </c>
      <c r="B4" s="26"/>
      <c r="C4" s="27"/>
    </row>
    <row r="5" spans="1:9" ht="15" customHeight="1">
      <c r="A5" s="1" t="s">
        <v>28</v>
      </c>
      <c r="B5" s="1" t="s">
        <v>29</v>
      </c>
      <c r="C5" s="1" t="s">
        <v>30</v>
      </c>
    </row>
    <row r="6" spans="1:9" ht="15" customHeight="1">
      <c r="A6" s="2" t="s">
        <v>31</v>
      </c>
      <c r="B6" s="5">
        <v>15</v>
      </c>
      <c r="C6" s="2" t="s">
        <v>32</v>
      </c>
    </row>
    <row r="7" spans="1:9" ht="15" customHeight="1">
      <c r="A7" s="2" t="s">
        <v>33</v>
      </c>
      <c r="B7" s="5">
        <v>5</v>
      </c>
      <c r="C7" s="2" t="s">
        <v>34</v>
      </c>
    </row>
    <row r="8" spans="1:9" ht="15" customHeight="1">
      <c r="A8" s="2" t="s">
        <v>35</v>
      </c>
      <c r="B8" s="4" t="s">
        <v>36</v>
      </c>
      <c r="C8" s="2" t="s">
        <v>37</v>
      </c>
    </row>
    <row r="10" spans="1:9" ht="15" customHeight="1">
      <c r="A10" s="25" t="s">
        <v>38</v>
      </c>
      <c r="B10" s="26"/>
      <c r="C10" s="26"/>
      <c r="D10" s="26"/>
      <c r="E10" s="26"/>
      <c r="F10" s="27"/>
    </row>
    <row r="11" spans="1:9" ht="15" customHeight="1">
      <c r="A11" s="1" t="s">
        <v>39</v>
      </c>
      <c r="B11" s="1" t="s">
        <v>36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9" ht="15" customHeight="1">
      <c r="A12" s="2" t="s">
        <v>44</v>
      </c>
      <c r="B12" s="6">
        <v>0.1</v>
      </c>
      <c r="C12" s="6">
        <v>0.15</v>
      </c>
      <c r="D12" s="6">
        <v>0.2</v>
      </c>
      <c r="E12" s="6">
        <v>0.25</v>
      </c>
      <c r="F12" s="6">
        <v>0.3</v>
      </c>
    </row>
    <row r="14" spans="1:9" ht="15" customHeight="1">
      <c r="A14" s="25" t="s">
        <v>45</v>
      </c>
      <c r="B14" s="26"/>
      <c r="C14" s="26"/>
      <c r="D14" s="26"/>
      <c r="E14" s="26"/>
      <c r="F14" s="26"/>
      <c r="G14" s="27"/>
    </row>
    <row r="15" spans="1:9" ht="15" customHeight="1">
      <c r="A15" s="1" t="s">
        <v>46</v>
      </c>
      <c r="B15" s="1" t="s">
        <v>47</v>
      </c>
      <c r="C15" s="1" t="s">
        <v>48</v>
      </c>
      <c r="D15" s="1" t="s">
        <v>49</v>
      </c>
      <c r="E15" s="1" t="s">
        <v>50</v>
      </c>
      <c r="F15" s="1" t="s">
        <v>51</v>
      </c>
      <c r="G15" s="1" t="s">
        <v>30</v>
      </c>
    </row>
    <row r="16" spans="1:9" ht="15" customHeight="1">
      <c r="A16" s="2" t="s">
        <v>52</v>
      </c>
      <c r="B16" s="5">
        <v>5</v>
      </c>
      <c r="C16" s="5">
        <v>9</v>
      </c>
      <c r="D16" s="5">
        <v>12</v>
      </c>
      <c r="E16" s="5">
        <v>14</v>
      </c>
      <c r="F16" s="5">
        <v>15</v>
      </c>
      <c r="G16" s="2" t="s">
        <v>53</v>
      </c>
    </row>
    <row r="17" spans="1:7" ht="15" customHeight="1">
      <c r="A17" s="2" t="s">
        <v>54</v>
      </c>
      <c r="B17" s="5">
        <v>8</v>
      </c>
      <c r="C17" s="5">
        <v>11</v>
      </c>
      <c r="D17" s="5">
        <v>13</v>
      </c>
      <c r="E17" s="5">
        <v>14</v>
      </c>
      <c r="F17" s="5">
        <v>15</v>
      </c>
      <c r="G17" s="2" t="s">
        <v>55</v>
      </c>
    </row>
  </sheetData>
  <mergeCells count="5">
    <mergeCell ref="A14:G14"/>
    <mergeCell ref="A10:F10"/>
    <mergeCell ref="A2:I2"/>
    <mergeCell ref="A1:I1"/>
    <mergeCell ref="A4:C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workbookViewId="0">
      <selection activeCell="H13" sqref="H13"/>
    </sheetView>
  </sheetViews>
  <sheetFormatPr defaultRowHeight="14.25"/>
  <cols>
    <col min="1" max="1" width="14.625" style="18" customWidth="1"/>
    <col min="2" max="6" width="18.625" style="18" customWidth="1"/>
    <col min="7" max="7" width="3.625" style="18" customWidth="1"/>
    <col min="8" max="8" width="18" style="18" customWidth="1"/>
  </cols>
  <sheetData>
    <row r="1" spans="1:8" ht="16.7" customHeight="1">
      <c r="A1" s="30" t="s">
        <v>56</v>
      </c>
      <c r="B1" s="29"/>
      <c r="C1" s="29"/>
      <c r="D1" s="29"/>
      <c r="E1" s="29"/>
      <c r="F1" s="29"/>
      <c r="G1" s="29"/>
      <c r="H1" s="29"/>
    </row>
    <row r="3" spans="1:8" ht="15" customHeight="1">
      <c r="A3" s="1" t="s">
        <v>57</v>
      </c>
      <c r="B3" s="1" t="s">
        <v>36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8" ht="15" customHeight="1">
      <c r="A4" s="2">
        <v>0</v>
      </c>
      <c r="B4" s="19">
        <f>_xlfn.BINOM.DIST($A4,Inputs!$B$6,HLOOKUP(B$3,Inputs!$B$11:$F$12,2,FALSE),FALSE)</f>
        <v>0.20589113209464899</v>
      </c>
      <c r="C4" s="19">
        <f>_xlfn.BINOM.DIST($A4,Inputs!$B$6,HLOOKUP(C$3,Inputs!$B$11:$F$12,2,FALSE),FALSE)</f>
        <v>8.7354219101251726E-2</v>
      </c>
      <c r="D4" s="19">
        <f>_xlfn.BINOM.DIST($A4,Inputs!$B$6,HLOOKUP(D$3,Inputs!$B$11:$F$12,2,FALSE),FALSE)</f>
        <v>3.5184372088831996E-2</v>
      </c>
      <c r="E4" s="19">
        <f>_xlfn.BINOM.DIST($A4,Inputs!$B$6,HLOOKUP(E$3,Inputs!$B$11:$F$12,2,FALSE),FALSE)</f>
        <v>1.3363461010158065E-2</v>
      </c>
      <c r="F4" s="19">
        <f>_xlfn.BINOM.DIST($A4,Inputs!$B$6,HLOOKUP(F$3,Inputs!$B$11:$F$12,2,FALSE),FALSE)</f>
        <v>4.7475615099429993E-3</v>
      </c>
    </row>
    <row r="5" spans="1:8" ht="15" customHeight="1">
      <c r="A5" s="2">
        <v>1</v>
      </c>
      <c r="B5" s="19">
        <f>_xlfn.BINOM.DIST($A5,Inputs!$B$6,HLOOKUP(B$3,Inputs!$B$11:$F$12,2,FALSE),FALSE)</f>
        <v>0.343151886824415</v>
      </c>
      <c r="C5" s="19">
        <f>_xlfn.BINOM.DIST($A5,Inputs!$B$6,HLOOKUP(C$3,Inputs!$B$11:$F$12,2,FALSE),FALSE)</f>
        <v>0.23123175644448982</v>
      </c>
      <c r="D5" s="19">
        <f>_xlfn.BINOM.DIST($A5,Inputs!$B$6,HLOOKUP(D$3,Inputs!$B$11:$F$12,2,FALSE),FALSE)</f>
        <v>0.13194139533312005</v>
      </c>
      <c r="E5" s="19">
        <f>_xlfn.BINOM.DIST($A5,Inputs!$B$6,HLOOKUP(E$3,Inputs!$B$11:$F$12,2,FALSE),FALSE)</f>
        <v>6.6817305050790338E-2</v>
      </c>
      <c r="F5" s="19">
        <f>_xlfn.BINOM.DIST($A5,Inputs!$B$6,HLOOKUP(F$3,Inputs!$B$11:$F$12,2,FALSE),FALSE)</f>
        <v>3.052003827820501E-2</v>
      </c>
    </row>
    <row r="6" spans="1:8" ht="15" customHeight="1">
      <c r="A6" s="2">
        <v>2</v>
      </c>
      <c r="B6" s="19">
        <f>_xlfn.BINOM.DIST($A6,Inputs!$B$6,HLOOKUP(B$3,Inputs!$B$11:$F$12,2,FALSE),FALSE)</f>
        <v>0.26689591197454504</v>
      </c>
      <c r="C6" s="19">
        <f>_xlfn.BINOM.DIST($A6,Inputs!$B$6,HLOOKUP(C$3,Inputs!$B$11:$F$12,2,FALSE),FALSE)</f>
        <v>0.2856392285490757</v>
      </c>
      <c r="D6" s="19">
        <f>_xlfn.BINOM.DIST($A6,Inputs!$B$6,HLOOKUP(D$3,Inputs!$B$11:$F$12,2,FALSE),FALSE)</f>
        <v>0.23089744183296002</v>
      </c>
      <c r="E6" s="19">
        <f>_xlfn.BINOM.DIST($A6,Inputs!$B$6,HLOOKUP(E$3,Inputs!$B$11:$F$12,2,FALSE),FALSE)</f>
        <v>0.15590704511851075</v>
      </c>
      <c r="F6" s="19">
        <f>_xlfn.BINOM.DIST($A6,Inputs!$B$6,HLOOKUP(F$3,Inputs!$B$11:$F$12,2,FALSE),FALSE)</f>
        <v>9.1560114834615028E-2</v>
      </c>
    </row>
    <row r="7" spans="1:8" ht="15" customHeight="1">
      <c r="A7" s="2">
        <v>3</v>
      </c>
      <c r="B7" s="19">
        <f>_xlfn.BINOM.DIST($A7,Inputs!$B$6,HLOOKUP(B$3,Inputs!$B$11:$F$12,2,FALSE),FALSE)</f>
        <v>0.12850543909885501</v>
      </c>
      <c r="C7" s="19">
        <f>_xlfn.BINOM.DIST($A7,Inputs!$B$6,HLOOKUP(C$3,Inputs!$B$11:$F$12,2,FALSE),FALSE)</f>
        <v>0.21842999830223428</v>
      </c>
      <c r="D7" s="19">
        <f>_xlfn.BINOM.DIST($A7,Inputs!$B$6,HLOOKUP(D$3,Inputs!$B$11:$F$12,2,FALSE),FALSE)</f>
        <v>0.25013889531903993</v>
      </c>
      <c r="E7" s="19">
        <f>_xlfn.BINOM.DIST($A7,Inputs!$B$6,HLOOKUP(E$3,Inputs!$B$11:$F$12,2,FALSE),FALSE)</f>
        <v>0.22519906517118218</v>
      </c>
      <c r="F7" s="19">
        <f>_xlfn.BINOM.DIST($A7,Inputs!$B$6,HLOOKUP(F$3,Inputs!$B$11:$F$12,2,FALSE),FALSE)</f>
        <v>0.17004021326428495</v>
      </c>
    </row>
    <row r="8" spans="1:8" ht="15" customHeight="1">
      <c r="A8" s="2">
        <v>4</v>
      </c>
      <c r="B8" s="19">
        <f>_xlfn.BINOM.DIST($A8,Inputs!$B$6,HLOOKUP(B$3,Inputs!$B$11:$F$12,2,FALSE),FALSE)</f>
        <v>4.2835146366285E-2</v>
      </c>
      <c r="C8" s="19">
        <f>_xlfn.BINOM.DIST($A8,Inputs!$B$6,HLOOKUP(C$3,Inputs!$B$11:$F$12,2,FALSE),FALSE)</f>
        <v>0.11563941086588875</v>
      </c>
      <c r="D8" s="19">
        <f>_xlfn.BINOM.DIST($A8,Inputs!$B$6,HLOOKUP(D$3,Inputs!$B$11:$F$12,2,FALSE),FALSE)</f>
        <v>0.18760417148927999</v>
      </c>
      <c r="E8" s="19">
        <f>_xlfn.BINOM.DIST($A8,Inputs!$B$6,HLOOKUP(E$3,Inputs!$B$11:$F$12,2,FALSE),FALSE)</f>
        <v>0.22519906517118218</v>
      </c>
      <c r="F8" s="19">
        <f>_xlfn.BINOM.DIST($A8,Inputs!$B$6,HLOOKUP(F$3,Inputs!$B$11:$F$12,2,FALSE),FALSE)</f>
        <v>0.218623131339795</v>
      </c>
    </row>
    <row r="9" spans="1:8" ht="15" customHeight="1">
      <c r="A9" s="2">
        <v>5</v>
      </c>
      <c r="B9" s="19">
        <f>_xlfn.BINOM.DIST($A9,Inputs!$B$6,HLOOKUP(B$3,Inputs!$B$11:$F$12,2,FALSE),FALSE)</f>
        <v>1.0470813556202989E-2</v>
      </c>
      <c r="C9" s="19">
        <f>_xlfn.BINOM.DIST($A9,Inputs!$B$6,HLOOKUP(C$3,Inputs!$B$11:$F$12,2,FALSE),FALSE)</f>
        <v>4.4895300689109761E-2</v>
      </c>
      <c r="D9" s="19">
        <f>_xlfn.BINOM.DIST($A9,Inputs!$B$6,HLOOKUP(D$3,Inputs!$B$11:$F$12,2,FALSE),FALSE)</f>
        <v>0.103182294319104</v>
      </c>
      <c r="E9" s="19">
        <f>_xlfn.BINOM.DIST($A9,Inputs!$B$6,HLOOKUP(E$3,Inputs!$B$11:$F$12,2,FALSE),FALSE)</f>
        <v>0.16514598112553358</v>
      </c>
      <c r="F9" s="19">
        <f>_xlfn.BINOM.DIST($A9,Inputs!$B$6,HLOOKUP(F$3,Inputs!$B$11:$F$12,2,FALSE),FALSE)</f>
        <v>0.20613038097752098</v>
      </c>
    </row>
    <row r="10" spans="1:8" ht="15" customHeight="1">
      <c r="A10" s="2">
        <v>6</v>
      </c>
      <c r="B10" s="19">
        <f>_xlfn.BINOM.DIST($A10,Inputs!$B$6,HLOOKUP(B$3,Inputs!$B$11:$F$12,2,FALSE),FALSE)</f>
        <v>1.939039547445001E-3</v>
      </c>
      <c r="C10" s="19">
        <f>_xlfn.BINOM.DIST($A10,Inputs!$B$6,HLOOKUP(C$3,Inputs!$B$11:$F$12,2,FALSE),FALSE)</f>
        <v>1.3204500202679341E-2</v>
      </c>
      <c r="D10" s="19">
        <f>_xlfn.BINOM.DIST($A10,Inputs!$B$6,HLOOKUP(D$3,Inputs!$B$11:$F$12,2,FALSE),FALSE)</f>
        <v>4.2992622632960005E-2</v>
      </c>
      <c r="E10" s="19">
        <f>_xlfn.BINOM.DIST($A10,Inputs!$B$6,HLOOKUP(E$3,Inputs!$B$11:$F$12,2,FALSE),FALSE)</f>
        <v>9.1747767291963059E-2</v>
      </c>
      <c r="F10" s="19">
        <f>_xlfn.BINOM.DIST($A10,Inputs!$B$6,HLOOKUP(F$3,Inputs!$B$11:$F$12,2,FALSE),FALSE)</f>
        <v>0.14723598641251498</v>
      </c>
    </row>
    <row r="11" spans="1:8" ht="15" customHeight="1">
      <c r="A11" s="2">
        <v>7</v>
      </c>
      <c r="B11" s="19">
        <f>_xlfn.BINOM.DIST($A11,Inputs!$B$6,HLOOKUP(B$3,Inputs!$B$11:$F$12,2,FALSE),FALSE)</f>
        <v>2.7700564963500002E-4</v>
      </c>
      <c r="C11" s="19">
        <f>_xlfn.BINOM.DIST($A11,Inputs!$B$6,HLOOKUP(C$3,Inputs!$B$11:$F$12,2,FALSE),FALSE)</f>
        <v>2.9959790375827097E-3</v>
      </c>
      <c r="D11" s="19">
        <f>_xlfn.BINOM.DIST($A11,Inputs!$B$6,HLOOKUP(D$3,Inputs!$B$11:$F$12,2,FALSE),FALSE)</f>
        <v>1.3819057274879993E-2</v>
      </c>
      <c r="E11" s="19">
        <f>_xlfn.BINOM.DIST($A11,Inputs!$B$6,HLOOKUP(E$3,Inputs!$B$11:$F$12,2,FALSE),FALSE)</f>
        <v>3.9320471696555608E-2</v>
      </c>
      <c r="F11" s="19">
        <f>_xlfn.BINOM.DIST($A11,Inputs!$B$6,HLOOKUP(F$3,Inputs!$B$11:$F$12,2,FALSE),FALSE)</f>
        <v>8.1130033329345E-2</v>
      </c>
    </row>
    <row r="12" spans="1:8" ht="15" customHeight="1">
      <c r="A12" s="2">
        <v>8</v>
      </c>
      <c r="B12" s="19">
        <f>_xlfn.BINOM.DIST($A12,Inputs!$B$6,HLOOKUP(B$3,Inputs!$B$11:$F$12,2,FALSE),FALSE)</f>
        <v>3.0778405515000034E-5</v>
      </c>
      <c r="C12" s="19">
        <f>_xlfn.BINOM.DIST($A12,Inputs!$B$6,HLOOKUP(C$3,Inputs!$B$11:$F$12,2,FALSE),FALSE)</f>
        <v>5.2870218310283035E-4</v>
      </c>
      <c r="D12" s="19">
        <f>_xlfn.BINOM.DIST($A12,Inputs!$B$6,HLOOKUP(D$3,Inputs!$B$11:$F$12,2,FALSE),FALSE)</f>
        <v>3.4547643187200008E-3</v>
      </c>
      <c r="E12" s="19">
        <f>_xlfn.BINOM.DIST($A12,Inputs!$B$6,HLOOKUP(E$3,Inputs!$B$11:$F$12,2,FALSE),FALSE)</f>
        <v>1.3106823898851871E-2</v>
      </c>
      <c r="F12" s="19">
        <f>_xlfn.BINOM.DIST($A12,Inputs!$B$6,HLOOKUP(F$3,Inputs!$B$11:$F$12,2,FALSE),FALSE)</f>
        <v>3.4770014284004995E-2</v>
      </c>
    </row>
    <row r="13" spans="1:8" ht="15" customHeight="1">
      <c r="A13" s="2">
        <v>9</v>
      </c>
      <c r="B13" s="19">
        <f>_xlfn.BINOM.DIST($A13,Inputs!$B$6,HLOOKUP(B$3,Inputs!$B$11:$F$12,2,FALSE),FALSE)</f>
        <v>2.6598622049999972E-6</v>
      </c>
      <c r="C13" s="19">
        <f>_xlfn.BINOM.DIST($A13,Inputs!$B$6,HLOOKUP(C$3,Inputs!$B$11:$F$12,2,FALSE),FALSE)</f>
        <v>7.256696630823171E-5</v>
      </c>
      <c r="D13" s="19">
        <f>_xlfn.BINOM.DIST($A13,Inputs!$B$6,HLOOKUP(D$3,Inputs!$B$11:$F$12,2,FALSE),FALSE)</f>
        <v>6.7175972863999943E-4</v>
      </c>
      <c r="E13" s="19">
        <f>_xlfn.BINOM.DIST($A13,Inputs!$B$6,HLOOKUP(E$3,Inputs!$B$11:$F$12,2,FALSE),FALSE)</f>
        <v>3.398065455257893E-3</v>
      </c>
      <c r="F13" s="19">
        <f>_xlfn.BINOM.DIST($A13,Inputs!$B$6,HLOOKUP(F$3,Inputs!$B$11:$F$12,2,FALSE),FALSE)</f>
        <v>1.1590004761335005E-2</v>
      </c>
    </row>
    <row r="14" spans="1:8" ht="15" customHeight="1">
      <c r="A14" s="2">
        <v>10</v>
      </c>
      <c r="B14" s="19">
        <f>_xlfn.BINOM.DIST($A14,Inputs!$B$6,HLOOKUP(B$3,Inputs!$B$11:$F$12,2,FALSE),FALSE)</f>
        <v>1.773241469999999E-7</v>
      </c>
      <c r="C14" s="19">
        <f>_xlfn.BINOM.DIST($A14,Inputs!$B$6,HLOOKUP(C$3,Inputs!$B$11:$F$12,2,FALSE),FALSE)</f>
        <v>7.6835611385186542E-6</v>
      </c>
      <c r="D14" s="19">
        <f>_xlfn.BINOM.DIST($A14,Inputs!$B$6,HLOOKUP(D$3,Inputs!$B$11:$F$12,2,FALSE),FALSE)</f>
        <v>1.0076395929599992E-4</v>
      </c>
      <c r="E14" s="19">
        <f>_xlfn.BINOM.DIST($A14,Inputs!$B$6,HLOOKUP(E$3,Inputs!$B$11:$F$12,2,FALSE),FALSE)</f>
        <v>6.7961309105157863E-4</v>
      </c>
      <c r="F14" s="19">
        <f>_xlfn.BINOM.DIST($A14,Inputs!$B$6,HLOOKUP(F$3,Inputs!$B$11:$F$12,2,FALSE),FALSE)</f>
        <v>2.9802869386290004E-3</v>
      </c>
    </row>
    <row r="15" spans="1:8" ht="15" customHeight="1">
      <c r="A15" s="2">
        <v>11</v>
      </c>
      <c r="B15" s="19">
        <f>_xlfn.BINOM.DIST($A15,Inputs!$B$6,HLOOKUP(B$3,Inputs!$B$11:$F$12,2,FALSE),FALSE)</f>
        <v>8.9557650000000203E-9</v>
      </c>
      <c r="C15" s="19">
        <f>_xlfn.BINOM.DIST($A15,Inputs!$B$6,HLOOKUP(C$3,Inputs!$B$11:$F$12,2,FALSE),FALSE)</f>
        <v>6.1632843357101524E-7</v>
      </c>
      <c r="D15" s="19">
        <f>_xlfn.BINOM.DIST($A15,Inputs!$B$6,HLOOKUP(D$3,Inputs!$B$11:$F$12,2,FALSE),FALSE)</f>
        <v>1.1450449920000001E-5</v>
      </c>
      <c r="E15" s="19">
        <f>_xlfn.BINOM.DIST($A15,Inputs!$B$6,HLOOKUP(E$3,Inputs!$B$11:$F$12,2,FALSE),FALSE)</f>
        <v>1.0297168046236046E-4</v>
      </c>
      <c r="F15" s="19">
        <f>_xlfn.BINOM.DIST($A15,Inputs!$B$6,HLOOKUP(F$3,Inputs!$B$11:$F$12,2,FALSE),FALSE)</f>
        <v>5.8057537765499967E-4</v>
      </c>
    </row>
    <row r="16" spans="1:8" ht="15" customHeight="1">
      <c r="A16" s="2">
        <v>12</v>
      </c>
      <c r="B16" s="19">
        <f>_xlfn.BINOM.DIST($A16,Inputs!$B$6,HLOOKUP(B$3,Inputs!$B$11:$F$12,2,FALSE),FALSE)</f>
        <v>3.3169500000000198E-10</v>
      </c>
      <c r="C16" s="19">
        <f>_xlfn.BINOM.DIST($A16,Inputs!$B$6,HLOOKUP(C$3,Inputs!$B$11:$F$12,2,FALSE),FALSE)</f>
        <v>3.6254613739471458E-8</v>
      </c>
      <c r="D16" s="19">
        <f>_xlfn.BINOM.DIST($A16,Inputs!$B$6,HLOOKUP(D$3,Inputs!$B$11:$F$12,2,FALSE),FALSE)</f>
        <v>9.5420416000000059E-7</v>
      </c>
      <c r="E16" s="19">
        <f>_xlfn.BINOM.DIST($A16,Inputs!$B$6,HLOOKUP(E$3,Inputs!$B$11:$F$12,2,FALSE),FALSE)</f>
        <v>1.1441297829151157E-5</v>
      </c>
      <c r="F16" s="19">
        <f>_xlfn.BINOM.DIST($A16,Inputs!$B$6,HLOOKUP(F$3,Inputs!$B$11:$F$12,2,FALSE),FALSE)</f>
        <v>8.2939339665000106E-5</v>
      </c>
    </row>
    <row r="17" spans="1:6" ht="15" customHeight="1">
      <c r="A17" s="2">
        <v>13</v>
      </c>
      <c r="B17" s="19">
        <f>_xlfn.BINOM.DIST($A17,Inputs!$B$6,HLOOKUP(B$3,Inputs!$B$11:$F$12,2,FALSE),FALSE)</f>
        <v>8.5050000000000248E-12</v>
      </c>
      <c r="C17" s="19">
        <f>_xlfn.BINOM.DIST($A17,Inputs!$B$6,HLOOKUP(C$3,Inputs!$B$11:$F$12,2,FALSE),FALSE)</f>
        <v>1.4764322337341287E-9</v>
      </c>
      <c r="D17" s="19">
        <f>_xlfn.BINOM.DIST($A17,Inputs!$B$6,HLOOKUP(D$3,Inputs!$B$11:$F$12,2,FALSE),FALSE)</f>
        <v>5.505024000000009E-8</v>
      </c>
      <c r="E17" s="19">
        <f>_xlfn.BINOM.DIST($A17,Inputs!$B$6,HLOOKUP(E$3,Inputs!$B$11:$F$12,2,FALSE),FALSE)</f>
        <v>8.8009983301163059E-7</v>
      </c>
      <c r="F17" s="19">
        <f>_xlfn.BINOM.DIST($A17,Inputs!$B$6,HLOOKUP(F$3,Inputs!$B$11:$F$12,2,FALSE),FALSE)</f>
        <v>8.2027918350000286E-6</v>
      </c>
    </row>
    <row r="18" spans="1:6" ht="15" customHeight="1">
      <c r="A18" s="2">
        <v>14</v>
      </c>
      <c r="B18" s="19">
        <f>_xlfn.BINOM.DIST($A18,Inputs!$B$6,HLOOKUP(B$3,Inputs!$B$11:$F$12,2,FALSE),FALSE)</f>
        <v>1.3500000000000046E-13</v>
      </c>
      <c r="C18" s="19">
        <f>_xlfn.BINOM.DIST($A18,Inputs!$B$6,HLOOKUP(C$3,Inputs!$B$11:$F$12,2,FALSE),FALSE)</f>
        <v>3.7220980682373042E-11</v>
      </c>
      <c r="D18" s="19">
        <f>_xlfn.BINOM.DIST($A18,Inputs!$B$6,HLOOKUP(D$3,Inputs!$B$11:$F$12,2,FALSE),FALSE)</f>
        <v>1.9660799999999945E-9</v>
      </c>
      <c r="E18" s="19">
        <f>_xlfn.BINOM.DIST($A18,Inputs!$B$6,HLOOKUP(E$3,Inputs!$B$11:$F$12,2,FALSE),FALSE)</f>
        <v>4.1909515857696467E-8</v>
      </c>
      <c r="F18" s="19">
        <f>_xlfn.BINOM.DIST($A18,Inputs!$B$6,HLOOKUP(F$3,Inputs!$B$11:$F$12,2,FALSE),FALSE)</f>
        <v>5.0221174500000008E-7</v>
      </c>
    </row>
    <row r="19" spans="1:6" ht="15" customHeight="1">
      <c r="A19" s="2">
        <v>15</v>
      </c>
      <c r="B19" s="19">
        <f>_xlfn.BINOM.DIST($A19,Inputs!$B$6,HLOOKUP(B$3,Inputs!$B$11:$F$12,2,FALSE),FALSE)</f>
        <v>1.0000000000000013E-15</v>
      </c>
      <c r="C19" s="19">
        <f>_xlfn.BINOM.DIST($A19,Inputs!$B$6,HLOOKUP(C$3,Inputs!$B$11:$F$12,2,FALSE),FALSE)</f>
        <v>4.3789389038086019E-13</v>
      </c>
      <c r="D19" s="19">
        <f>_xlfn.BINOM.DIST($A19,Inputs!$B$6,HLOOKUP(D$3,Inputs!$B$11:$F$12,2,FALSE),FALSE)</f>
        <v>3.2768000000000022E-11</v>
      </c>
      <c r="E19" s="19">
        <f>_xlfn.BINOM.DIST($A19,Inputs!$B$6,HLOOKUP(E$3,Inputs!$B$11:$F$12,2,FALSE),FALSE)</f>
        <v>9.3132257461547934E-10</v>
      </c>
      <c r="F19" s="19">
        <f>_xlfn.BINOM.DIST($A19,Inputs!$B$6,HLOOKUP(F$3,Inputs!$B$11:$F$12,2,FALSE),FALSE)</f>
        <v>1.434890699999997E-8</v>
      </c>
    </row>
    <row r="20" spans="1:6">
      <c r="B20" s="20"/>
      <c r="C20" s="20"/>
      <c r="D20" s="20"/>
      <c r="E20" s="20"/>
      <c r="F20" s="20"/>
    </row>
    <row r="21" spans="1:6" ht="15" customHeight="1">
      <c r="A21" s="3" t="s">
        <v>58</v>
      </c>
      <c r="B21" s="21">
        <f>SUM(B4:B19)</f>
        <v>1.0000000000000002</v>
      </c>
      <c r="C21" s="21">
        <f>SUM(C4:C19)</f>
        <v>1.0000000000000004</v>
      </c>
      <c r="D21" s="21">
        <f>SUM(D4:D19)</f>
        <v>1</v>
      </c>
      <c r="E21" s="21">
        <f>SUM(E4:E19)</f>
        <v>1</v>
      </c>
      <c r="F21" s="21">
        <f>SUM(F4:F19)</f>
        <v>0.99999999999999967</v>
      </c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workbookViewId="0"/>
  </sheetViews>
  <sheetFormatPr defaultRowHeight="14.25"/>
  <cols>
    <col min="1" max="1" width="14.625" style="18" customWidth="1"/>
    <col min="2" max="3" width="12.625" style="18" customWidth="1"/>
    <col min="4" max="8" width="18.625" style="18" customWidth="1"/>
  </cols>
  <sheetData>
    <row r="1" spans="1:8" ht="16.7" customHeight="1">
      <c r="A1" s="30" t="s">
        <v>59</v>
      </c>
      <c r="B1" s="29"/>
      <c r="C1" s="29"/>
      <c r="D1" s="29"/>
      <c r="E1" s="29"/>
      <c r="F1" s="29"/>
      <c r="G1" s="29"/>
      <c r="H1" s="29"/>
    </row>
    <row r="3" spans="1:8" ht="15" customHeight="1">
      <c r="A3" s="12" t="s">
        <v>46</v>
      </c>
      <c r="B3" s="12" t="s">
        <v>52</v>
      </c>
      <c r="C3" s="12" t="s">
        <v>54</v>
      </c>
      <c r="D3" s="12" t="s">
        <v>36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15" customHeight="1">
      <c r="A4" s="13" t="s">
        <v>60</v>
      </c>
      <c r="B4" s="14">
        <v>0</v>
      </c>
      <c r="C4" s="14">
        <f>Inputs!$B$16-1</f>
        <v>4</v>
      </c>
      <c r="D4" s="22">
        <f>_xlfn.BINOM.DIST.RANGE(Inputs!$B$6,HLOOKUP(D$3,Inputs!$B$11:$F$12,2,FALSE),$B4,$C4)</f>
        <v>0.987279516358749</v>
      </c>
      <c r="E4" s="22">
        <f>_xlfn.BINOM.DIST.RANGE(Inputs!$B$6,HLOOKUP(E$3,Inputs!$B$11:$F$12,2,FALSE),$B4,$C4)</f>
        <v>0.93829461326294017</v>
      </c>
      <c r="F4" s="22">
        <f>_xlfn.BINOM.DIST.RANGE(Inputs!$B$6,HLOOKUP(F$3,Inputs!$B$11:$F$12,2,FALSE),$B4,$C4)</f>
        <v>0.83576627606323206</v>
      </c>
      <c r="G4" s="22">
        <f>_xlfn.BINOM.DIST.RANGE(Inputs!$B$6,HLOOKUP(G$3,Inputs!$B$11:$F$12,2,FALSE),$B4,$C4)</f>
        <v>0.68648594152182341</v>
      </c>
      <c r="H4" s="22">
        <f>_xlfn.BINOM.DIST.RANGE(Inputs!$B$6,HLOOKUP(H$3,Inputs!$B$11:$F$12,2,FALSE),$B4,$C4)</f>
        <v>0.51549105922684313</v>
      </c>
    </row>
    <row r="5" spans="1:8" ht="15" customHeight="1">
      <c r="A5" s="13" t="str">
        <f>Inputs!B15</f>
        <v>L1</v>
      </c>
      <c r="B5" s="14">
        <f>Inputs!B16</f>
        <v>5</v>
      </c>
      <c r="C5" s="14">
        <f>Inputs!B17</f>
        <v>8</v>
      </c>
      <c r="D5" s="22">
        <f>_xlfn.BINOM.DIST.RANGE(Inputs!$B$6,HLOOKUP(D$3,Inputs!$B$11:$F$12,2,FALSE),$B5,$C5)</f>
        <v>1.2717637158797987E-2</v>
      </c>
      <c r="E5" s="22">
        <f>_xlfn.BINOM.DIST.RANGE(Inputs!$B$6,HLOOKUP(E$3,Inputs!$B$11:$F$12,2,FALSE),$B5,$C5)</f>
        <v>6.1624482112474663E-2</v>
      </c>
      <c r="F5" s="22">
        <f>_xlfn.BINOM.DIST.RANGE(Inputs!$B$6,HLOOKUP(F$3,Inputs!$B$11:$F$12,2,FALSE),$B5,$C5)</f>
        <v>0.163448738545664</v>
      </c>
      <c r="G5" s="22">
        <f>_xlfn.BINOM.DIST.RANGE(Inputs!$B$6,HLOOKUP(G$3,Inputs!$B$11:$F$12,2,FALSE),$B5,$C5)</f>
        <v>0.30932104401290417</v>
      </c>
      <c r="H5" s="22">
        <f>_xlfn.BINOM.DIST.RANGE(Inputs!$B$6,HLOOKUP(H$3,Inputs!$B$11:$F$12,2,FALSE),$B5,$C5)</f>
        <v>0.46926641500338584</v>
      </c>
    </row>
    <row r="6" spans="1:8" ht="15" customHeight="1">
      <c r="A6" s="13" t="str">
        <f>Inputs!C15</f>
        <v>L2</v>
      </c>
      <c r="B6" s="14">
        <f>Inputs!C16</f>
        <v>9</v>
      </c>
      <c r="C6" s="14">
        <f>Inputs!C17</f>
        <v>11</v>
      </c>
      <c r="D6" s="22">
        <f>_xlfn.BINOM.DIST.RANGE(Inputs!$B$6,HLOOKUP(D$3,Inputs!$B$11:$F$12,2,FALSE),$B6,$C6)</f>
        <v>2.846142116999997E-6</v>
      </c>
      <c r="E6" s="22">
        <f>_xlfn.BINOM.DIST.RANGE(Inputs!$B$6,HLOOKUP(E$3,Inputs!$B$11:$F$12,2,FALSE),$B6,$C6)</f>
        <v>8.0866855880321485E-5</v>
      </c>
      <c r="F6" s="22">
        <f>_xlfn.BINOM.DIST.RANGE(Inputs!$B$6,HLOOKUP(F$3,Inputs!$B$11:$F$12,2,FALSE),$B6,$C6)</f>
        <v>7.8397413785599973E-4</v>
      </c>
      <c r="G6" s="22">
        <f>_xlfn.BINOM.DIST.RANGE(Inputs!$B$6,HLOOKUP(G$3,Inputs!$B$11:$F$12,2,FALSE),$B6,$C6)</f>
        <v>4.1806502267718341E-3</v>
      </c>
      <c r="H6" s="22">
        <f>_xlfn.BINOM.DIST.RANGE(Inputs!$B$6,HLOOKUP(H$3,Inputs!$B$11:$F$12,2,FALSE),$B6,$C6)</f>
        <v>1.515086707761901E-2</v>
      </c>
    </row>
    <row r="7" spans="1:8" ht="15" customHeight="1">
      <c r="A7" s="13" t="str">
        <f>Inputs!D15</f>
        <v>L3</v>
      </c>
      <c r="B7" s="14">
        <f>Inputs!D16</f>
        <v>12</v>
      </c>
      <c r="C7" s="14">
        <f>Inputs!D17</f>
        <v>13</v>
      </c>
      <c r="D7" s="22">
        <f>_xlfn.BINOM.DIST.RANGE(Inputs!$B$6,HLOOKUP(D$3,Inputs!$B$11:$F$12,2,FALSE),$B7,$C7)</f>
        <v>3.4020000000000044E-10</v>
      </c>
      <c r="E7" s="22">
        <f>_xlfn.BINOM.DIST.RANGE(Inputs!$B$6,HLOOKUP(E$3,Inputs!$B$11:$F$12,2,FALSE),$B7,$C7)</f>
        <v>3.7731045973205579E-8</v>
      </c>
      <c r="F7" s="22">
        <f>_xlfn.BINOM.DIST.RANGE(Inputs!$B$6,HLOOKUP(F$3,Inputs!$B$11:$F$12,2,FALSE),$B7,$C7)</f>
        <v>1.0092543999999977E-6</v>
      </c>
      <c r="G7" s="22">
        <f>_xlfn.BINOM.DIST.RANGE(Inputs!$B$6,HLOOKUP(G$3,Inputs!$B$11:$F$12,2,FALSE),$B7,$C7)</f>
        <v>1.2321397662162779E-5</v>
      </c>
      <c r="H7" s="22">
        <f>_xlfn.BINOM.DIST.RANGE(Inputs!$B$6,HLOOKUP(H$3,Inputs!$B$11:$F$12,2,FALSE),$B7,$C7)</f>
        <v>9.1142131500000114E-5</v>
      </c>
    </row>
    <row r="8" spans="1:8" ht="15" customHeight="1">
      <c r="A8" s="13" t="str">
        <f>Inputs!E15</f>
        <v>L4</v>
      </c>
      <c r="B8" s="14">
        <f>Inputs!E16</f>
        <v>14</v>
      </c>
      <c r="C8" s="14">
        <f>Inputs!E17</f>
        <v>14</v>
      </c>
      <c r="D8" s="22">
        <f>_xlfn.BINOM.DIST.RANGE(Inputs!$B$6,HLOOKUP(D$3,Inputs!$B$11:$F$12,2,FALSE),$B8,$C8)</f>
        <v>1.3500000000000046E-13</v>
      </c>
      <c r="E8" s="22">
        <f>_xlfn.BINOM.DIST.RANGE(Inputs!$B$6,HLOOKUP(E$3,Inputs!$B$11:$F$12,2,FALSE),$B8,$C8)</f>
        <v>3.7220980682373042E-11</v>
      </c>
      <c r="F8" s="22">
        <f>_xlfn.BINOM.DIST.RANGE(Inputs!$B$6,HLOOKUP(F$3,Inputs!$B$11:$F$12,2,FALSE),$B8,$C8)</f>
        <v>1.9660799999999945E-9</v>
      </c>
      <c r="G8" s="22">
        <f>_xlfn.BINOM.DIST.RANGE(Inputs!$B$6,HLOOKUP(G$3,Inputs!$B$11:$F$12,2,FALSE),$B8,$C8)</f>
        <v>4.1909515857696467E-8</v>
      </c>
      <c r="H8" s="22">
        <f>_xlfn.BINOM.DIST.RANGE(Inputs!$B$6,HLOOKUP(H$3,Inputs!$B$11:$F$12,2,FALSE),$B8,$C8)</f>
        <v>5.0221174500000008E-7</v>
      </c>
    </row>
    <row r="9" spans="1:8">
      <c r="A9" s="15" t="str">
        <f>Inputs!F15</f>
        <v>L5</v>
      </c>
      <c r="B9" s="16">
        <f>Inputs!F16</f>
        <v>15</v>
      </c>
      <c r="C9" s="16">
        <f>Inputs!F17</f>
        <v>15</v>
      </c>
      <c r="D9" s="23">
        <f>_xlfn.BINOM.DIST.RANGE(Inputs!$B$6,HLOOKUP(D$3,Inputs!$B$11:$F$12,2,FALSE),$B9,$C9)</f>
        <v>1.0000000000000013E-15</v>
      </c>
      <c r="E9" s="23">
        <f>_xlfn.BINOM.DIST.RANGE(Inputs!$B$6,HLOOKUP(E$3,Inputs!$B$11:$F$12,2,FALSE),$B9,$C9)</f>
        <v>4.3789389038086019E-13</v>
      </c>
      <c r="F9" s="23">
        <f>_xlfn.BINOM.DIST.RANGE(Inputs!$B$6,HLOOKUP(F$3,Inputs!$B$11:$F$12,2,FALSE),$B9,$C9)</f>
        <v>3.2768000000000022E-11</v>
      </c>
      <c r="G9" s="23">
        <f>_xlfn.BINOM.DIST.RANGE(Inputs!$B$6,HLOOKUP(G$3,Inputs!$B$11:$F$12,2,FALSE),$B9,$C9)</f>
        <v>9.3132257461547934E-10</v>
      </c>
      <c r="H9" s="23">
        <f>_xlfn.BINOM.DIST.RANGE(Inputs!$B$6,HLOOKUP(H$3,Inputs!$B$11:$F$12,2,FALSE),$B9,$C9)</f>
        <v>1.434890699999997E-8</v>
      </c>
    </row>
    <row r="10" spans="1:8" ht="15" customHeight="1">
      <c r="A10" s="17"/>
      <c r="B10" s="17"/>
      <c r="C10" s="17"/>
      <c r="D10" s="17"/>
      <c r="E10" s="17"/>
      <c r="F10" s="17"/>
      <c r="G10" s="17"/>
      <c r="H10" s="17"/>
    </row>
    <row r="11" spans="1:8">
      <c r="A11" s="17"/>
      <c r="B11" s="17"/>
      <c r="C11" s="17"/>
      <c r="D11" s="17"/>
      <c r="E11" s="17"/>
      <c r="F11" s="17"/>
      <c r="G11" s="17"/>
      <c r="H11" s="17"/>
    </row>
    <row r="12" spans="1:8">
      <c r="A12" s="17"/>
      <c r="B12" s="17"/>
      <c r="C12" s="17"/>
      <c r="D12" s="17"/>
      <c r="E12" s="17"/>
      <c r="F12" s="17"/>
      <c r="G12" s="17"/>
      <c r="H12" s="17"/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"/>
  <sheetViews>
    <sheetView showGridLines="0" workbookViewId="0"/>
  </sheetViews>
  <sheetFormatPr defaultRowHeight="14.25"/>
  <cols>
    <col min="1" max="1" width="12" style="18" customWidth="1"/>
    <col min="2" max="18" width="13" style="18" customWidth="1"/>
    <col min="19" max="23" width="14" style="18" customWidth="1"/>
  </cols>
  <sheetData>
    <row r="1" spans="1:23" ht="16.7" customHeight="1">
      <c r="A1" s="30" t="s">
        <v>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3" spans="1:23" ht="15" customHeight="1">
      <c r="A3" s="7" t="s">
        <v>28</v>
      </c>
      <c r="B3" s="7" t="s">
        <v>62</v>
      </c>
      <c r="C3" s="7"/>
      <c r="D3" s="7" t="s">
        <v>30</v>
      </c>
    </row>
    <row r="4" spans="1:23" ht="15" customHeight="1">
      <c r="A4" s="2" t="s">
        <v>63</v>
      </c>
      <c r="B4" s="24">
        <f>Inputs!B12</f>
        <v>0.1</v>
      </c>
      <c r="C4" s="2"/>
      <c r="D4" s="2" t="s">
        <v>64</v>
      </c>
    </row>
    <row r="5" spans="1:23" ht="15" customHeight="1">
      <c r="A5" s="2" t="s">
        <v>65</v>
      </c>
      <c r="B5" s="24">
        <f>Inputs!B7</f>
        <v>5</v>
      </c>
      <c r="C5" s="2"/>
      <c r="D5" s="2" t="s">
        <v>66</v>
      </c>
    </row>
    <row r="6" spans="1:23" ht="15" customHeight="1">
      <c r="A6" s="2" t="s">
        <v>67</v>
      </c>
      <c r="B6" s="24">
        <f>1-(1-B4)^B5</f>
        <v>0.40950999999999982</v>
      </c>
      <c r="C6" s="2"/>
      <c r="D6" s="2" t="s">
        <v>68</v>
      </c>
    </row>
    <row r="7" spans="1:23" ht="15" customHeight="1">
      <c r="A7" s="2" t="s">
        <v>31</v>
      </c>
      <c r="B7" s="8">
        <f>Inputs!B6</f>
        <v>15</v>
      </c>
      <c r="C7" s="2"/>
      <c r="D7" s="2" t="s">
        <v>69</v>
      </c>
    </row>
    <row r="8" spans="1:23" ht="105.6" customHeight="1">
      <c r="A8" s="9" t="s">
        <v>30</v>
      </c>
      <c r="B8" s="9" t="s">
        <v>70</v>
      </c>
      <c r="C8" s="9"/>
      <c r="D8" s="9"/>
    </row>
    <row r="10" spans="1:23" ht="15" customHeight="1">
      <c r="A10" s="25" t="s">
        <v>71</v>
      </c>
      <c r="B10" s="26"/>
      <c r="C10" s="26"/>
      <c r="D10" s="26"/>
      <c r="E10" s="27"/>
      <c r="G10" s="25" t="s">
        <v>108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7"/>
    </row>
    <row r="11" spans="1:23" ht="15" customHeight="1">
      <c r="A11" s="1" t="s">
        <v>72</v>
      </c>
      <c r="B11" s="1" t="s">
        <v>73</v>
      </c>
      <c r="C11" s="1" t="s">
        <v>74</v>
      </c>
      <c r="D11" s="1" t="s">
        <v>46</v>
      </c>
      <c r="E11" s="1" t="s">
        <v>75</v>
      </c>
      <c r="G11" s="1" t="s">
        <v>109</v>
      </c>
      <c r="H11" s="1">
        <v>0</v>
      </c>
      <c r="I11" s="1">
        <v>1</v>
      </c>
      <c r="J11" s="1">
        <v>2</v>
      </c>
      <c r="K11" s="1">
        <v>3</v>
      </c>
      <c r="L11" s="1">
        <v>4</v>
      </c>
      <c r="M11" s="1">
        <v>5</v>
      </c>
      <c r="N11" s="1">
        <v>6</v>
      </c>
      <c r="O11" s="1">
        <v>7</v>
      </c>
      <c r="P11" s="1">
        <v>8</v>
      </c>
      <c r="Q11" s="1">
        <v>9</v>
      </c>
      <c r="R11" s="1">
        <v>10</v>
      </c>
      <c r="S11" s="1">
        <v>11</v>
      </c>
      <c r="T11" s="1">
        <v>12</v>
      </c>
      <c r="U11" s="1">
        <v>13</v>
      </c>
      <c r="V11" s="1">
        <v>14</v>
      </c>
      <c r="W11" s="1">
        <v>15</v>
      </c>
    </row>
    <row r="12" spans="1:23" ht="15" customHeight="1">
      <c r="A12" s="2">
        <v>0</v>
      </c>
      <c r="B12" s="24">
        <f t="shared" ref="B12:B27" si="0">_xlfn.BINOM.DIST(A12,$B$7,$B$6,FALSE)</f>
        <v>3.6998848503512846E-4</v>
      </c>
      <c r="C12" s="24">
        <f t="shared" ref="C12:C27" si="1">_xlfn.BINOM.DIST(A12,$B$7,$B$6,TRUE)</f>
        <v>3.6998848503512846E-4</v>
      </c>
      <c r="D12" s="2" t="str">
        <f t="shared" ref="D12:D27" si="2">IF(A12&gt;=15,"L5",IF(A12&gt;=14,"L4",IF(A12&gt;=12,"L3",IF(A12&gt;=9,"L2",IF(A12&gt;=5,"L1","-")))))</f>
        <v>-</v>
      </c>
      <c r="E12" s="2"/>
      <c r="G12" s="1">
        <v>0</v>
      </c>
      <c r="H12" s="24">
        <f>IF($G12&lt;H$11,0,_xlfn.BINOM.DIST($G12-H$11,Inputs!$B$6-H$11,$B$4,FALSE))</f>
        <v>0.20589113209464899</v>
      </c>
      <c r="I12" s="24">
        <f>IF($G12&lt;I$11,0,_xlfn.BINOM.DIST($G12-I$11,Inputs!$B$6-I$11,$B$4,FALSE))</f>
        <v>0</v>
      </c>
      <c r="J12" s="24">
        <f>IF($G12&lt;J$11,0,_xlfn.BINOM.DIST($G12-J$11,Inputs!$B$6-J$11,$B$4,FALSE))</f>
        <v>0</v>
      </c>
      <c r="K12" s="24">
        <f>IF($G12&lt;K$11,0,_xlfn.BINOM.DIST($G12-K$11,Inputs!$B$6-K$11,$B$4,FALSE))</f>
        <v>0</v>
      </c>
      <c r="L12" s="24">
        <f>IF($G12&lt;L$11,0,_xlfn.BINOM.DIST($G12-L$11,Inputs!$B$6-L$11,$B$4,FALSE))</f>
        <v>0</v>
      </c>
      <c r="M12" s="24">
        <f>IF($G12&lt;M$11,0,_xlfn.BINOM.DIST($G12-M$11,Inputs!$B$6-M$11,$B$4,FALSE))</f>
        <v>0</v>
      </c>
      <c r="N12" s="24">
        <f>IF($G12&lt;N$11,0,_xlfn.BINOM.DIST($G12-N$11,Inputs!$B$6-N$11,$B$4,FALSE))</f>
        <v>0</v>
      </c>
      <c r="O12" s="24">
        <f>IF($G12&lt;O$11,0,_xlfn.BINOM.DIST($G12-O$11,Inputs!$B$6-O$11,$B$4,FALSE))</f>
        <v>0</v>
      </c>
      <c r="P12" s="24">
        <f>IF($G12&lt;P$11,0,_xlfn.BINOM.DIST($G12-P$11,Inputs!$B$6-P$11,$B$4,FALSE))</f>
        <v>0</v>
      </c>
      <c r="Q12" s="24">
        <f>IF($G12&lt;Q$11,0,_xlfn.BINOM.DIST($G12-Q$11,Inputs!$B$6-Q$11,$B$4,FALSE))</f>
        <v>0</v>
      </c>
      <c r="R12" s="24">
        <f>IF($G12&lt;R$11,0,_xlfn.BINOM.DIST($G12-R$11,Inputs!$B$6-R$11,$B$4,FALSE))</f>
        <v>0</v>
      </c>
      <c r="S12" s="24">
        <f>IF($G12&lt;S$11,0,_xlfn.BINOM.DIST($G12-S$11,Inputs!$B$6-S$11,$B$4,FALSE))</f>
        <v>0</v>
      </c>
      <c r="T12" s="24">
        <f>IF($G12&lt;T$11,0,_xlfn.BINOM.DIST($G12-T$11,Inputs!$B$6-T$11,$B$4,FALSE))</f>
        <v>0</v>
      </c>
      <c r="U12" s="24">
        <f>IF($G12&lt;U$11,0,_xlfn.BINOM.DIST($G12-U$11,Inputs!$B$6-U$11,$B$4,FALSE))</f>
        <v>0</v>
      </c>
      <c r="V12" s="24">
        <f>IF($G12&lt;V$11,0,_xlfn.BINOM.DIST($G12-V$11,Inputs!$B$6-V$11,$B$4,FALSE))</f>
        <v>0</v>
      </c>
      <c r="W12" s="24">
        <f>IF($G12&lt;W$11,0,_xlfn.BINOM.DIST($G12-W$11,Inputs!$B$6-W$11,$B$4,FALSE))</f>
        <v>0</v>
      </c>
    </row>
    <row r="13" spans="1:23" ht="15" customHeight="1">
      <c r="A13" s="2">
        <v>1</v>
      </c>
      <c r="B13" s="24">
        <f t="shared" si="0"/>
        <v>3.8488539477400676E-3</v>
      </c>
      <c r="C13" s="24">
        <f t="shared" si="1"/>
        <v>4.2188424327751911E-3</v>
      </c>
      <c r="D13" s="2" t="str">
        <f t="shared" si="2"/>
        <v>-</v>
      </c>
      <c r="E13" s="2"/>
      <c r="G13" s="1">
        <v>1</v>
      </c>
      <c r="H13" s="24">
        <f>IF($G13&lt;H$11,0,_xlfn.BINOM.DIST($G13-H$11,Inputs!$B$6-H$11,$B$4,FALSE))</f>
        <v>0.343151886824415</v>
      </c>
      <c r="I13" s="24">
        <f>IF($G13&lt;I$11,0,_xlfn.BINOM.DIST($G13-I$11,Inputs!$B$6-I$11,$B$4,FALSE))</f>
        <v>0.22876792454960998</v>
      </c>
      <c r="J13" s="24">
        <f>IF($G13&lt;J$11,0,_xlfn.BINOM.DIST($G13-J$11,Inputs!$B$6-J$11,$B$4,FALSE))</f>
        <v>0</v>
      </c>
      <c r="K13" s="24">
        <f>IF($G13&lt;K$11,0,_xlfn.BINOM.DIST($G13-K$11,Inputs!$B$6-K$11,$B$4,FALSE))</f>
        <v>0</v>
      </c>
      <c r="L13" s="24">
        <f>IF($G13&lt;L$11,0,_xlfn.BINOM.DIST($G13-L$11,Inputs!$B$6-L$11,$B$4,FALSE))</f>
        <v>0</v>
      </c>
      <c r="M13" s="24">
        <f>IF($G13&lt;M$11,0,_xlfn.BINOM.DIST($G13-M$11,Inputs!$B$6-M$11,$B$4,FALSE))</f>
        <v>0</v>
      </c>
      <c r="N13" s="24">
        <f>IF($G13&lt;N$11,0,_xlfn.BINOM.DIST($G13-N$11,Inputs!$B$6-N$11,$B$4,FALSE))</f>
        <v>0</v>
      </c>
      <c r="O13" s="24">
        <f>IF($G13&lt;O$11,0,_xlfn.BINOM.DIST($G13-O$11,Inputs!$B$6-O$11,$B$4,FALSE))</f>
        <v>0</v>
      </c>
      <c r="P13" s="24">
        <f>IF($G13&lt;P$11,0,_xlfn.BINOM.DIST($G13-P$11,Inputs!$B$6-P$11,$B$4,FALSE))</f>
        <v>0</v>
      </c>
      <c r="Q13" s="24">
        <f>IF($G13&lt;Q$11,0,_xlfn.BINOM.DIST($G13-Q$11,Inputs!$B$6-Q$11,$B$4,FALSE))</f>
        <v>0</v>
      </c>
      <c r="R13" s="24">
        <f>IF($G13&lt;R$11,0,_xlfn.BINOM.DIST($G13-R$11,Inputs!$B$6-R$11,$B$4,FALSE))</f>
        <v>0</v>
      </c>
      <c r="S13" s="24">
        <f>IF($G13&lt;S$11,0,_xlfn.BINOM.DIST($G13-S$11,Inputs!$B$6-S$11,$B$4,FALSE))</f>
        <v>0</v>
      </c>
      <c r="T13" s="24">
        <f>IF($G13&lt;T$11,0,_xlfn.BINOM.DIST($G13-T$11,Inputs!$B$6-T$11,$B$4,FALSE))</f>
        <v>0</v>
      </c>
      <c r="U13" s="24">
        <f>IF($G13&lt;U$11,0,_xlfn.BINOM.DIST($G13-U$11,Inputs!$B$6-U$11,$B$4,FALSE))</f>
        <v>0</v>
      </c>
      <c r="V13" s="24">
        <f>IF($G13&lt;V$11,0,_xlfn.BINOM.DIST($G13-V$11,Inputs!$B$6-V$11,$B$4,FALSE))</f>
        <v>0</v>
      </c>
      <c r="W13" s="24">
        <f>IF($G13&lt;W$11,0,_xlfn.BINOM.DIST($G13-W$11,Inputs!$B$6-W$11,$B$4,FALSE))</f>
        <v>0</v>
      </c>
    </row>
    <row r="14" spans="1:23" ht="15" customHeight="1">
      <c r="A14" s="2">
        <v>2</v>
      </c>
      <c r="B14" s="24">
        <f t="shared" si="0"/>
        <v>1.8684498062580632E-2</v>
      </c>
      <c r="C14" s="24">
        <f t="shared" si="1"/>
        <v>2.2903340495355806E-2</v>
      </c>
      <c r="D14" s="2" t="str">
        <f t="shared" si="2"/>
        <v>-</v>
      </c>
      <c r="E14" s="2"/>
      <c r="G14" s="1">
        <v>2</v>
      </c>
      <c r="H14" s="24">
        <f>IF($G14&lt;H$11,0,_xlfn.BINOM.DIST($G14-H$11,Inputs!$B$6-H$11,$B$4,FALSE))</f>
        <v>0.26689591197454504</v>
      </c>
      <c r="I14" s="24">
        <f>IF($G14&lt;I$11,0,_xlfn.BINOM.DIST($G14-I$11,Inputs!$B$6-I$11,$B$4,FALSE))</f>
        <v>0.35586121596605991</v>
      </c>
      <c r="J14" s="24">
        <f>IF($G14&lt;J$11,0,_xlfn.BINOM.DIST($G14-J$11,Inputs!$B$6-J$11,$B$4,FALSE))</f>
        <v>0.25418658283290002</v>
      </c>
      <c r="K14" s="24">
        <f>IF($G14&lt;K$11,0,_xlfn.BINOM.DIST($G14-K$11,Inputs!$B$6-K$11,$B$4,FALSE))</f>
        <v>0</v>
      </c>
      <c r="L14" s="24">
        <f>IF($G14&lt;L$11,0,_xlfn.BINOM.DIST($G14-L$11,Inputs!$B$6-L$11,$B$4,FALSE))</f>
        <v>0</v>
      </c>
      <c r="M14" s="24">
        <f>IF($G14&lt;M$11,0,_xlfn.BINOM.DIST($G14-M$11,Inputs!$B$6-M$11,$B$4,FALSE))</f>
        <v>0</v>
      </c>
      <c r="N14" s="24">
        <f>IF($G14&lt;N$11,0,_xlfn.BINOM.DIST($G14-N$11,Inputs!$B$6-N$11,$B$4,FALSE))</f>
        <v>0</v>
      </c>
      <c r="O14" s="24">
        <f>IF($G14&lt;O$11,0,_xlfn.BINOM.DIST($G14-O$11,Inputs!$B$6-O$11,$B$4,FALSE))</f>
        <v>0</v>
      </c>
      <c r="P14" s="24">
        <f>IF($G14&lt;P$11,0,_xlfn.BINOM.DIST($G14-P$11,Inputs!$B$6-P$11,$B$4,FALSE))</f>
        <v>0</v>
      </c>
      <c r="Q14" s="24">
        <f>IF($G14&lt;Q$11,0,_xlfn.BINOM.DIST($G14-Q$11,Inputs!$B$6-Q$11,$B$4,FALSE))</f>
        <v>0</v>
      </c>
      <c r="R14" s="24">
        <f>IF($G14&lt;R$11,0,_xlfn.BINOM.DIST($G14-R$11,Inputs!$B$6-R$11,$B$4,FALSE))</f>
        <v>0</v>
      </c>
      <c r="S14" s="24">
        <f>IF($G14&lt;S$11,0,_xlfn.BINOM.DIST($G14-S$11,Inputs!$B$6-S$11,$B$4,FALSE))</f>
        <v>0</v>
      </c>
      <c r="T14" s="24">
        <f>IF($G14&lt;T$11,0,_xlfn.BINOM.DIST($G14-T$11,Inputs!$B$6-T$11,$B$4,FALSE))</f>
        <v>0</v>
      </c>
      <c r="U14" s="24">
        <f>IF($G14&lt;U$11,0,_xlfn.BINOM.DIST($G14-U$11,Inputs!$B$6-U$11,$B$4,FALSE))</f>
        <v>0</v>
      </c>
      <c r="V14" s="24">
        <f>IF($G14&lt;V$11,0,_xlfn.BINOM.DIST($G14-V$11,Inputs!$B$6-V$11,$B$4,FALSE))</f>
        <v>0</v>
      </c>
      <c r="W14" s="24">
        <f>IF($G14&lt;W$11,0,_xlfn.BINOM.DIST($G14-W$11,Inputs!$B$6-W$11,$B$4,FALSE))</f>
        <v>0</v>
      </c>
    </row>
    <row r="15" spans="1:23" ht="15" customHeight="1">
      <c r="A15" s="2">
        <v>3</v>
      </c>
      <c r="B15" s="24">
        <f t="shared" si="0"/>
        <v>5.6150741712191581E-2</v>
      </c>
      <c r="C15" s="24">
        <f t="shared" si="1"/>
        <v>7.9054082207547366E-2</v>
      </c>
      <c r="D15" s="2" t="str">
        <f t="shared" si="2"/>
        <v>-</v>
      </c>
      <c r="E15" s="2"/>
      <c r="G15" s="1">
        <v>3</v>
      </c>
      <c r="H15" s="24">
        <f>IF($G15&lt;H$11,0,_xlfn.BINOM.DIST($G15-H$11,Inputs!$B$6-H$11,$B$4,FALSE))</f>
        <v>0.12850543909885501</v>
      </c>
      <c r="I15" s="24">
        <f>IF($G15&lt;I$11,0,_xlfn.BINOM.DIST($G15-I$11,Inputs!$B$6-I$11,$B$4,FALSE))</f>
        <v>0.25701087819771001</v>
      </c>
      <c r="J15" s="24">
        <f>IF($G15&lt;J$11,0,_xlfn.BINOM.DIST($G15-J$11,Inputs!$B$6-J$11,$B$4,FALSE))</f>
        <v>0.36715839742529999</v>
      </c>
      <c r="K15" s="24">
        <f>IF($G15&lt;K$11,0,_xlfn.BINOM.DIST($G15-K$11,Inputs!$B$6-K$11,$B$4,FALSE))</f>
        <v>0.282429536481</v>
      </c>
      <c r="L15" s="24">
        <f>IF($G15&lt;L$11,0,_xlfn.BINOM.DIST($G15-L$11,Inputs!$B$6-L$11,$B$4,FALSE))</f>
        <v>0</v>
      </c>
      <c r="M15" s="24">
        <f>IF($G15&lt;M$11,0,_xlfn.BINOM.DIST($G15-M$11,Inputs!$B$6-M$11,$B$4,FALSE))</f>
        <v>0</v>
      </c>
      <c r="N15" s="24">
        <f>IF($G15&lt;N$11,0,_xlfn.BINOM.DIST($G15-N$11,Inputs!$B$6-N$11,$B$4,FALSE))</f>
        <v>0</v>
      </c>
      <c r="O15" s="24">
        <f>IF($G15&lt;O$11,0,_xlfn.BINOM.DIST($G15-O$11,Inputs!$B$6-O$11,$B$4,FALSE))</f>
        <v>0</v>
      </c>
      <c r="P15" s="24">
        <f>IF($G15&lt;P$11,0,_xlfn.BINOM.DIST($G15-P$11,Inputs!$B$6-P$11,$B$4,FALSE))</f>
        <v>0</v>
      </c>
      <c r="Q15" s="24">
        <f>IF($G15&lt;Q$11,0,_xlfn.BINOM.DIST($G15-Q$11,Inputs!$B$6-Q$11,$B$4,FALSE))</f>
        <v>0</v>
      </c>
      <c r="R15" s="24">
        <f>IF($G15&lt;R$11,0,_xlfn.BINOM.DIST($G15-R$11,Inputs!$B$6-R$11,$B$4,FALSE))</f>
        <v>0</v>
      </c>
      <c r="S15" s="24">
        <f>IF($G15&lt;S$11,0,_xlfn.BINOM.DIST($G15-S$11,Inputs!$B$6-S$11,$B$4,FALSE))</f>
        <v>0</v>
      </c>
      <c r="T15" s="24">
        <f>IF($G15&lt;T$11,0,_xlfn.BINOM.DIST($G15-T$11,Inputs!$B$6-T$11,$B$4,FALSE))</f>
        <v>0</v>
      </c>
      <c r="U15" s="24">
        <f>IF($G15&lt;U$11,0,_xlfn.BINOM.DIST($G15-U$11,Inputs!$B$6-U$11,$B$4,FALSE))</f>
        <v>0</v>
      </c>
      <c r="V15" s="24">
        <f>IF($G15&lt;V$11,0,_xlfn.BINOM.DIST($G15-V$11,Inputs!$B$6-V$11,$B$4,FALSE))</f>
        <v>0</v>
      </c>
      <c r="W15" s="24">
        <f>IF($G15&lt;W$11,0,_xlfn.BINOM.DIST($G15-W$11,Inputs!$B$6-W$11,$B$4,FALSE))</f>
        <v>0</v>
      </c>
    </row>
    <row r="16" spans="1:23" ht="15" customHeight="1">
      <c r="A16" s="2">
        <v>4</v>
      </c>
      <c r="B16" s="24">
        <f t="shared" si="0"/>
        <v>0.11682309728476123</v>
      </c>
      <c r="C16" s="24">
        <f t="shared" si="1"/>
        <v>0.19587717949230857</v>
      </c>
      <c r="D16" s="2" t="str">
        <f t="shared" si="2"/>
        <v>-</v>
      </c>
      <c r="E16" s="2"/>
      <c r="G16" s="1">
        <v>4</v>
      </c>
      <c r="H16" s="24">
        <f>IF($G16&lt;H$11,0,_xlfn.BINOM.DIST($G16-H$11,Inputs!$B$6-H$11,$B$4,FALSE))</f>
        <v>4.2835146366285E-2</v>
      </c>
      <c r="I16" s="24">
        <f>IF($G16&lt;I$11,0,_xlfn.BINOM.DIST($G16-I$11,Inputs!$B$6-I$11,$B$4,FALSE))</f>
        <v>0.11422705697675996</v>
      </c>
      <c r="J16" s="24">
        <f>IF($G16&lt;J$11,0,_xlfn.BINOM.DIST($G16-J$11,Inputs!$B$6-J$11,$B$4,FALSE))</f>
        <v>0.24477226495019999</v>
      </c>
      <c r="K16" s="24">
        <f>IF($G16&lt;K$11,0,_xlfn.BINOM.DIST($G16-K$11,Inputs!$B$6-K$11,$B$4,FALSE))</f>
        <v>0.37657271530800002</v>
      </c>
      <c r="L16" s="24">
        <f>IF($G16&lt;L$11,0,_xlfn.BINOM.DIST($G16-L$11,Inputs!$B$6-L$11,$B$4,FALSE))</f>
        <v>0.31381059608999995</v>
      </c>
      <c r="M16" s="24">
        <f>IF($G16&lt;M$11,0,_xlfn.BINOM.DIST($G16-M$11,Inputs!$B$6-M$11,$B$4,FALSE))</f>
        <v>0</v>
      </c>
      <c r="N16" s="24">
        <f>IF($G16&lt;N$11,0,_xlfn.BINOM.DIST($G16-N$11,Inputs!$B$6-N$11,$B$4,FALSE))</f>
        <v>0</v>
      </c>
      <c r="O16" s="24">
        <f>IF($G16&lt;O$11,0,_xlfn.BINOM.DIST($G16-O$11,Inputs!$B$6-O$11,$B$4,FALSE))</f>
        <v>0</v>
      </c>
      <c r="P16" s="24">
        <f>IF($G16&lt;P$11,0,_xlfn.BINOM.DIST($G16-P$11,Inputs!$B$6-P$11,$B$4,FALSE))</f>
        <v>0</v>
      </c>
      <c r="Q16" s="24">
        <f>IF($G16&lt;Q$11,0,_xlfn.BINOM.DIST($G16-Q$11,Inputs!$B$6-Q$11,$B$4,FALSE))</f>
        <v>0</v>
      </c>
      <c r="R16" s="24">
        <f>IF($G16&lt;R$11,0,_xlfn.BINOM.DIST($G16-R$11,Inputs!$B$6-R$11,$B$4,FALSE))</f>
        <v>0</v>
      </c>
      <c r="S16" s="24">
        <f>IF($G16&lt;S$11,0,_xlfn.BINOM.DIST($G16-S$11,Inputs!$B$6-S$11,$B$4,FALSE))</f>
        <v>0</v>
      </c>
      <c r="T16" s="24">
        <f>IF($G16&lt;T$11,0,_xlfn.BINOM.DIST($G16-T$11,Inputs!$B$6-T$11,$B$4,FALSE))</f>
        <v>0</v>
      </c>
      <c r="U16" s="24">
        <f>IF($G16&lt;U$11,0,_xlfn.BINOM.DIST($G16-U$11,Inputs!$B$6-U$11,$B$4,FALSE))</f>
        <v>0</v>
      </c>
      <c r="V16" s="24">
        <f>IF($G16&lt;V$11,0,_xlfn.BINOM.DIST($G16-V$11,Inputs!$B$6-V$11,$B$4,FALSE))</f>
        <v>0</v>
      </c>
      <c r="W16" s="24">
        <f>IF($G16&lt;W$11,0,_xlfn.BINOM.DIST($G16-W$11,Inputs!$B$6-W$11,$B$4,FALSE))</f>
        <v>0</v>
      </c>
    </row>
    <row r="17" spans="1:23" ht="15" customHeight="1">
      <c r="A17" s="2">
        <v>5</v>
      </c>
      <c r="B17" s="24">
        <f t="shared" si="0"/>
        <v>0.17823925629897472</v>
      </c>
      <c r="C17" s="24">
        <f t="shared" si="1"/>
        <v>0.37411643579128329</v>
      </c>
      <c r="D17" s="2" t="str">
        <f t="shared" si="2"/>
        <v>L1</v>
      </c>
      <c r="E17" s="2"/>
      <c r="G17" s="1">
        <v>5</v>
      </c>
      <c r="H17" s="24">
        <f>IF($G17&lt;H$11,0,_xlfn.BINOM.DIST($G17-H$11,Inputs!$B$6-H$11,$B$4,FALSE))</f>
        <v>1.0470813556202989E-2</v>
      </c>
      <c r="I17" s="24">
        <f>IF($G17&lt;I$11,0,_xlfn.BINOM.DIST($G17-I$11,Inputs!$B$6-I$11,$B$4,FALSE))</f>
        <v>3.4902711854009991E-2</v>
      </c>
      <c r="J17" s="24">
        <f>IF($G17&lt;J$11,0,_xlfn.BINOM.DIST($G17-J$11,Inputs!$B$6-J$11,$B$4,FALSE))</f>
        <v>9.9722033868600027E-2</v>
      </c>
      <c r="K17" s="24">
        <f>IF($G17&lt;K$11,0,_xlfn.BINOM.DIST($G17-K$11,Inputs!$B$6-K$11,$B$4,FALSE))</f>
        <v>0.230127770466</v>
      </c>
      <c r="L17" s="24">
        <f>IF($G17&lt;L$11,0,_xlfn.BINOM.DIST($G17-L$11,Inputs!$B$6-L$11,$B$4,FALSE))</f>
        <v>0.38354628410999997</v>
      </c>
      <c r="M17" s="24">
        <f>IF($G17&lt;M$11,0,_xlfn.BINOM.DIST($G17-M$11,Inputs!$B$6-M$11,$B$4,FALSE))</f>
        <v>0.34867844009999993</v>
      </c>
      <c r="N17" s="24">
        <f>IF($G17&lt;N$11,0,_xlfn.BINOM.DIST($G17-N$11,Inputs!$B$6-N$11,$B$4,FALSE))</f>
        <v>0</v>
      </c>
      <c r="O17" s="24">
        <f>IF($G17&lt;O$11,0,_xlfn.BINOM.DIST($G17-O$11,Inputs!$B$6-O$11,$B$4,FALSE))</f>
        <v>0</v>
      </c>
      <c r="P17" s="24">
        <f>IF($G17&lt;P$11,0,_xlfn.BINOM.DIST($G17-P$11,Inputs!$B$6-P$11,$B$4,FALSE))</f>
        <v>0</v>
      </c>
      <c r="Q17" s="24">
        <f>IF($G17&lt;Q$11,0,_xlfn.BINOM.DIST($G17-Q$11,Inputs!$B$6-Q$11,$B$4,FALSE))</f>
        <v>0</v>
      </c>
      <c r="R17" s="24">
        <f>IF($G17&lt;R$11,0,_xlfn.BINOM.DIST($G17-R$11,Inputs!$B$6-R$11,$B$4,FALSE))</f>
        <v>0</v>
      </c>
      <c r="S17" s="24">
        <f>IF($G17&lt;S$11,0,_xlfn.BINOM.DIST($G17-S$11,Inputs!$B$6-S$11,$B$4,FALSE))</f>
        <v>0</v>
      </c>
      <c r="T17" s="24">
        <f>IF($G17&lt;T$11,0,_xlfn.BINOM.DIST($G17-T$11,Inputs!$B$6-T$11,$B$4,FALSE))</f>
        <v>0</v>
      </c>
      <c r="U17" s="24">
        <f>IF($G17&lt;U$11,0,_xlfn.BINOM.DIST($G17-U$11,Inputs!$B$6-U$11,$B$4,FALSE))</f>
        <v>0</v>
      </c>
      <c r="V17" s="24">
        <f>IF($G17&lt;V$11,0,_xlfn.BINOM.DIST($G17-V$11,Inputs!$B$6-V$11,$B$4,FALSE))</f>
        <v>0</v>
      </c>
      <c r="W17" s="24">
        <f>IF($G17&lt;W$11,0,_xlfn.BINOM.DIST($G17-W$11,Inputs!$B$6-W$11,$B$4,FALSE))</f>
        <v>0</v>
      </c>
    </row>
    <row r="18" spans="1:23" ht="15" customHeight="1">
      <c r="A18" s="2">
        <v>6</v>
      </c>
      <c r="B18" s="24">
        <f t="shared" si="0"/>
        <v>0.20601748222378333</v>
      </c>
      <c r="C18" s="24">
        <f t="shared" si="1"/>
        <v>0.58013391801506697</v>
      </c>
      <c r="D18" s="2" t="str">
        <f t="shared" si="2"/>
        <v>L1</v>
      </c>
      <c r="E18" s="2"/>
      <c r="G18" s="1">
        <v>6</v>
      </c>
      <c r="H18" s="24">
        <f>IF($G18&lt;H$11,0,_xlfn.BINOM.DIST($G18-H$11,Inputs!$B$6-H$11,$B$4,FALSE))</f>
        <v>1.939039547445001E-3</v>
      </c>
      <c r="I18" s="24">
        <f>IF($G18&lt;I$11,0,_xlfn.BINOM.DIST($G18-I$11,Inputs!$B$6-I$11,$B$4,FALSE))</f>
        <v>7.7561581897800059E-3</v>
      </c>
      <c r="J18" s="24">
        <f>IF($G18&lt;J$11,0,_xlfn.BINOM.DIST($G18-J$11,Inputs!$B$6-J$11,$B$4,FALSE))</f>
        <v>2.7700564963499996E-2</v>
      </c>
      <c r="K18" s="24">
        <f>IF($G18&lt;K$11,0,_xlfn.BINOM.DIST($G18-K$11,Inputs!$B$6-K$11,$B$4,FALSE))</f>
        <v>8.5232507580000019E-2</v>
      </c>
      <c r="L18" s="24">
        <f>IF($G18&lt;L$11,0,_xlfn.BINOM.DIST($G18-L$11,Inputs!$B$6-L$11,$B$4,FALSE))</f>
        <v>0.21308126894999999</v>
      </c>
      <c r="M18" s="24">
        <f>IF($G18&lt;M$11,0,_xlfn.BINOM.DIST($G18-M$11,Inputs!$B$6-M$11,$B$4,FALSE))</f>
        <v>0.38742048899999998</v>
      </c>
      <c r="N18" s="24">
        <f>IF($G18&lt;N$11,0,_xlfn.BINOM.DIST($G18-N$11,Inputs!$B$6-N$11,$B$4,FALSE))</f>
        <v>0.38742048899999998</v>
      </c>
      <c r="O18" s="24">
        <f>IF($G18&lt;O$11,0,_xlfn.BINOM.DIST($G18-O$11,Inputs!$B$6-O$11,$B$4,FALSE))</f>
        <v>0</v>
      </c>
      <c r="P18" s="24">
        <f>IF($G18&lt;P$11,0,_xlfn.BINOM.DIST($G18-P$11,Inputs!$B$6-P$11,$B$4,FALSE))</f>
        <v>0</v>
      </c>
      <c r="Q18" s="24">
        <f>IF($G18&lt;Q$11,0,_xlfn.BINOM.DIST($G18-Q$11,Inputs!$B$6-Q$11,$B$4,FALSE))</f>
        <v>0</v>
      </c>
      <c r="R18" s="24">
        <f>IF($G18&lt;R$11,0,_xlfn.BINOM.DIST($G18-R$11,Inputs!$B$6-R$11,$B$4,FALSE))</f>
        <v>0</v>
      </c>
      <c r="S18" s="24">
        <f>IF($G18&lt;S$11,0,_xlfn.BINOM.DIST($G18-S$11,Inputs!$B$6-S$11,$B$4,FALSE))</f>
        <v>0</v>
      </c>
      <c r="T18" s="24">
        <f>IF($G18&lt;T$11,0,_xlfn.BINOM.DIST($G18-T$11,Inputs!$B$6-T$11,$B$4,FALSE))</f>
        <v>0</v>
      </c>
      <c r="U18" s="24">
        <f>IF($G18&lt;U$11,0,_xlfn.BINOM.DIST($G18-U$11,Inputs!$B$6-U$11,$B$4,FALSE))</f>
        <v>0</v>
      </c>
      <c r="V18" s="24">
        <f>IF($G18&lt;V$11,0,_xlfn.BINOM.DIST($G18-V$11,Inputs!$B$6-V$11,$B$4,FALSE))</f>
        <v>0</v>
      </c>
      <c r="W18" s="24">
        <f>IF($G18&lt;W$11,0,_xlfn.BINOM.DIST($G18-W$11,Inputs!$B$6-W$11,$B$4,FALSE))</f>
        <v>0</v>
      </c>
    </row>
    <row r="19" spans="1:23" ht="15" customHeight="1">
      <c r="A19" s="2">
        <v>7</v>
      </c>
      <c r="B19" s="24">
        <f t="shared" si="0"/>
        <v>0.18369634233775653</v>
      </c>
      <c r="C19" s="24">
        <f t="shared" si="1"/>
        <v>0.76383026035282342</v>
      </c>
      <c r="D19" s="2" t="str">
        <f t="shared" si="2"/>
        <v>L1</v>
      </c>
      <c r="E19" s="2"/>
      <c r="G19" s="1">
        <v>7</v>
      </c>
      <c r="H19" s="24">
        <f>IF($G19&lt;H$11,0,_xlfn.BINOM.DIST($G19-H$11,Inputs!$B$6-H$11,$B$4,FALSE))</f>
        <v>2.7700564963500002E-4</v>
      </c>
      <c r="I19" s="24">
        <f>IF($G19&lt;I$11,0,_xlfn.BINOM.DIST($G19-I$11,Inputs!$B$6-I$11,$B$4,FALSE))</f>
        <v>1.2926930316300028E-3</v>
      </c>
      <c r="J19" s="24">
        <f>IF($G19&lt;J$11,0,_xlfn.BINOM.DIST($G19-J$11,Inputs!$B$6-J$11,$B$4,FALSE))</f>
        <v>5.5401129927000036E-3</v>
      </c>
      <c r="K19" s="24">
        <f>IF($G19&lt;K$11,0,_xlfn.BINOM.DIST($G19-K$11,Inputs!$B$6-K$11,$B$4,FALSE))</f>
        <v>2.1308126895000012E-2</v>
      </c>
      <c r="L19" s="24">
        <f>IF($G19&lt;L$11,0,_xlfn.BINOM.DIST($G19-L$11,Inputs!$B$6-L$11,$B$4,FALSE))</f>
        <v>7.1027089649999986E-2</v>
      </c>
      <c r="M19" s="24">
        <f>IF($G19&lt;M$11,0,_xlfn.BINOM.DIST($G19-M$11,Inputs!$B$6-M$11,$B$4,FALSE))</f>
        <v>0.19371024450000005</v>
      </c>
      <c r="N19" s="24">
        <f>IF($G19&lt;N$11,0,_xlfn.BINOM.DIST($G19-N$11,Inputs!$B$6-N$11,$B$4,FALSE))</f>
        <v>0.38742048900000009</v>
      </c>
      <c r="O19" s="24">
        <f>IF($G19&lt;O$11,0,_xlfn.BINOM.DIST($G19-O$11,Inputs!$B$6-O$11,$B$4,FALSE))</f>
        <v>0.43046720999999999</v>
      </c>
      <c r="P19" s="24">
        <f>IF($G19&lt;P$11,0,_xlfn.BINOM.DIST($G19-P$11,Inputs!$B$6-P$11,$B$4,FALSE))</f>
        <v>0</v>
      </c>
      <c r="Q19" s="24">
        <f>IF($G19&lt;Q$11,0,_xlfn.BINOM.DIST($G19-Q$11,Inputs!$B$6-Q$11,$B$4,FALSE))</f>
        <v>0</v>
      </c>
      <c r="R19" s="24">
        <f>IF($G19&lt;R$11,0,_xlfn.BINOM.DIST($G19-R$11,Inputs!$B$6-R$11,$B$4,FALSE))</f>
        <v>0</v>
      </c>
      <c r="S19" s="24">
        <f>IF($G19&lt;S$11,0,_xlfn.BINOM.DIST($G19-S$11,Inputs!$B$6-S$11,$B$4,FALSE))</f>
        <v>0</v>
      </c>
      <c r="T19" s="24">
        <f>IF($G19&lt;T$11,0,_xlfn.BINOM.DIST($G19-T$11,Inputs!$B$6-T$11,$B$4,FALSE))</f>
        <v>0</v>
      </c>
      <c r="U19" s="24">
        <f>IF($G19&lt;U$11,0,_xlfn.BINOM.DIST($G19-U$11,Inputs!$B$6-U$11,$B$4,FALSE))</f>
        <v>0</v>
      </c>
      <c r="V19" s="24">
        <f>IF($G19&lt;V$11,0,_xlfn.BINOM.DIST($G19-V$11,Inputs!$B$6-V$11,$B$4,FALSE))</f>
        <v>0</v>
      </c>
      <c r="W19" s="24">
        <f>IF($G19&lt;W$11,0,_xlfn.BINOM.DIST($G19-W$11,Inputs!$B$6-W$11,$B$4,FALSE))</f>
        <v>0</v>
      </c>
    </row>
    <row r="20" spans="1:23" ht="15" customHeight="1">
      <c r="A20" s="2">
        <v>8</v>
      </c>
      <c r="B20" s="24">
        <f t="shared" si="0"/>
        <v>0.12739502641998113</v>
      </c>
      <c r="C20" s="24">
        <f t="shared" si="1"/>
        <v>0.89122528677280433</v>
      </c>
      <c r="D20" s="2" t="str">
        <f t="shared" si="2"/>
        <v>L1</v>
      </c>
      <c r="E20" s="2"/>
      <c r="G20" s="1">
        <v>8</v>
      </c>
      <c r="H20" s="24">
        <f>IF($G20&lt;H$11,0,_xlfn.BINOM.DIST($G20-H$11,Inputs!$B$6-H$11,$B$4,FALSE))</f>
        <v>3.0778405515000034E-5</v>
      </c>
      <c r="I20" s="24">
        <f>IF($G20&lt;I$11,0,_xlfn.BINOM.DIST($G20-I$11,Inputs!$B$6-I$11,$B$4,FALSE))</f>
        <v>1.6415149608000004E-4</v>
      </c>
      <c r="J20" s="24">
        <f>IF($G20&lt;J$11,0,_xlfn.BINOM.DIST($G20-J$11,Inputs!$B$6-J$11,$B$4,FALSE))</f>
        <v>8.2075748040000025E-4</v>
      </c>
      <c r="K20" s="24">
        <f>IF($G20&lt;K$11,0,_xlfn.BINOM.DIST($G20-K$11,Inputs!$B$6-K$11,$B$4,FALSE))</f>
        <v>3.7881114480000024E-3</v>
      </c>
      <c r="L20" s="24">
        <f>IF($G20&lt;L$11,0,_xlfn.BINOM.DIST($G20-L$11,Inputs!$B$6-L$11,$B$4,FALSE))</f>
        <v>1.5783797700000001E-2</v>
      </c>
      <c r="M20" s="24">
        <f>IF($G20&lt;M$11,0,_xlfn.BINOM.DIST($G20-M$11,Inputs!$B$6-M$11,$B$4,FALSE))</f>
        <v>5.739562799999999E-2</v>
      </c>
      <c r="N20" s="24">
        <f>IF($G20&lt;N$11,0,_xlfn.BINOM.DIST($G20-N$11,Inputs!$B$6-N$11,$B$4,FALSE))</f>
        <v>0.17218688400000001</v>
      </c>
      <c r="O20" s="24">
        <f>IF($G20&lt;O$11,0,_xlfn.BINOM.DIST($G20-O$11,Inputs!$B$6-O$11,$B$4,FALSE))</f>
        <v>0.38263752000000001</v>
      </c>
      <c r="P20" s="24">
        <f>IF($G20&lt;P$11,0,_xlfn.BINOM.DIST($G20-P$11,Inputs!$B$6-P$11,$B$4,FALSE))</f>
        <v>0.47829689999999997</v>
      </c>
      <c r="Q20" s="24">
        <f>IF($G20&lt;Q$11,0,_xlfn.BINOM.DIST($G20-Q$11,Inputs!$B$6-Q$11,$B$4,FALSE))</f>
        <v>0</v>
      </c>
      <c r="R20" s="24">
        <f>IF($G20&lt;R$11,0,_xlfn.BINOM.DIST($G20-R$11,Inputs!$B$6-R$11,$B$4,FALSE))</f>
        <v>0</v>
      </c>
      <c r="S20" s="24">
        <f>IF($G20&lt;S$11,0,_xlfn.BINOM.DIST($G20-S$11,Inputs!$B$6-S$11,$B$4,FALSE))</f>
        <v>0</v>
      </c>
      <c r="T20" s="24">
        <f>IF($G20&lt;T$11,0,_xlfn.BINOM.DIST($G20-T$11,Inputs!$B$6-T$11,$B$4,FALSE))</f>
        <v>0</v>
      </c>
      <c r="U20" s="24">
        <f>IF($G20&lt;U$11,0,_xlfn.BINOM.DIST($G20-U$11,Inputs!$B$6-U$11,$B$4,FALSE))</f>
        <v>0</v>
      </c>
      <c r="V20" s="24">
        <f>IF($G20&lt;V$11,0,_xlfn.BINOM.DIST($G20-V$11,Inputs!$B$6-V$11,$B$4,FALSE))</f>
        <v>0</v>
      </c>
      <c r="W20" s="24">
        <f>IF($G20&lt;W$11,0,_xlfn.BINOM.DIST($G20-W$11,Inputs!$B$6-W$11,$B$4,FALSE))</f>
        <v>0</v>
      </c>
    </row>
    <row r="21" spans="1:23" ht="15" customHeight="1">
      <c r="A21" s="2">
        <v>9</v>
      </c>
      <c r="B21" s="24">
        <f t="shared" si="0"/>
        <v>6.871633180065613E-2</v>
      </c>
      <c r="C21" s="24">
        <f t="shared" si="1"/>
        <v>0.95994161857346039</v>
      </c>
      <c r="D21" s="2" t="str">
        <f t="shared" si="2"/>
        <v>L2</v>
      </c>
      <c r="E21" s="2"/>
      <c r="G21" s="1">
        <v>9</v>
      </c>
      <c r="H21" s="24">
        <f>IF($G21&lt;H$11,0,_xlfn.BINOM.DIST($G21-H$11,Inputs!$B$6-H$11,$B$4,FALSE))</f>
        <v>2.6598622049999972E-6</v>
      </c>
      <c r="I21" s="24">
        <f>IF($G21&lt;I$11,0,_xlfn.BINOM.DIST($G21-I$11,Inputs!$B$6-I$11,$B$4,FALSE))</f>
        <v>1.5959173230000031E-5</v>
      </c>
      <c r="J21" s="24">
        <f>IF($G21&lt;J$11,0,_xlfn.BINOM.DIST($G21-J$11,Inputs!$B$6-J$11,$B$4,FALSE))</f>
        <v>9.1195275600000066E-5</v>
      </c>
      <c r="K21" s="24">
        <f>IF($G21&lt;K$11,0,_xlfn.BINOM.DIST($G21-K$11,Inputs!$B$6-K$11,$B$4,FALSE))</f>
        <v>4.910514840000005E-4</v>
      </c>
      <c r="L21" s="24">
        <f>IF($G21&lt;L$11,0,_xlfn.BINOM.DIST($G21-L$11,Inputs!$B$6-L$11,$B$4,FALSE))</f>
        <v>2.4552574200000002E-3</v>
      </c>
      <c r="M21" s="24">
        <f>IF($G21&lt;M$11,0,_xlfn.BINOM.DIST($G21-M$11,Inputs!$B$6-M$11,$B$4,FALSE))</f>
        <v>1.1160261000000003E-2</v>
      </c>
      <c r="N21" s="24">
        <f>IF($G21&lt;N$11,0,_xlfn.BINOM.DIST($G21-N$11,Inputs!$B$6-N$11,$B$4,FALSE))</f>
        <v>4.4641044000000019E-2</v>
      </c>
      <c r="O21" s="24">
        <f>IF($G21&lt;O$11,0,_xlfn.BINOM.DIST($G21-O$11,Inputs!$B$6-O$11,$B$4,FALSE))</f>
        <v>0.14880347999999999</v>
      </c>
      <c r="P21" s="24">
        <f>IF($G21&lt;P$11,0,_xlfn.BINOM.DIST($G21-P$11,Inputs!$B$6-P$11,$B$4,FALSE))</f>
        <v>0.37200870000000003</v>
      </c>
      <c r="Q21" s="24">
        <f>IF($G21&lt;Q$11,0,_xlfn.BINOM.DIST($G21-Q$11,Inputs!$B$6-Q$11,$B$4,FALSE))</f>
        <v>0.53144100000000005</v>
      </c>
      <c r="R21" s="24">
        <f>IF($G21&lt;R$11,0,_xlfn.BINOM.DIST($G21-R$11,Inputs!$B$6-R$11,$B$4,FALSE))</f>
        <v>0</v>
      </c>
      <c r="S21" s="24">
        <f>IF($G21&lt;S$11,0,_xlfn.BINOM.DIST($G21-S$11,Inputs!$B$6-S$11,$B$4,FALSE))</f>
        <v>0</v>
      </c>
      <c r="T21" s="24">
        <f>IF($G21&lt;T$11,0,_xlfn.BINOM.DIST($G21-T$11,Inputs!$B$6-T$11,$B$4,FALSE))</f>
        <v>0</v>
      </c>
      <c r="U21" s="24">
        <f>IF($G21&lt;U$11,0,_xlfn.BINOM.DIST($G21-U$11,Inputs!$B$6-U$11,$B$4,FALSE))</f>
        <v>0</v>
      </c>
      <c r="V21" s="24">
        <f>IF($G21&lt;V$11,0,_xlfn.BINOM.DIST($G21-V$11,Inputs!$B$6-V$11,$B$4,FALSE))</f>
        <v>0</v>
      </c>
      <c r="W21" s="24">
        <f>IF($G21&lt;W$11,0,_xlfn.BINOM.DIST($G21-W$11,Inputs!$B$6-W$11,$B$4,FALSE))</f>
        <v>0</v>
      </c>
    </row>
    <row r="22" spans="1:23" ht="15" customHeight="1">
      <c r="A22" s="2">
        <v>10</v>
      </c>
      <c r="B22" s="24">
        <f t="shared" si="0"/>
        <v>2.8593227694646832E-2</v>
      </c>
      <c r="C22" s="24">
        <f t="shared" si="1"/>
        <v>0.98853484626810717</v>
      </c>
      <c r="D22" s="2" t="str">
        <f t="shared" si="2"/>
        <v>L2</v>
      </c>
      <c r="E22" s="2"/>
      <c r="G22" s="1">
        <v>10</v>
      </c>
      <c r="H22" s="24">
        <f>IF($G22&lt;H$11,0,_xlfn.BINOM.DIST($G22-H$11,Inputs!$B$6-H$11,$B$4,FALSE))</f>
        <v>1.773241469999999E-7</v>
      </c>
      <c r="I22" s="24">
        <f>IF($G22&lt;I$11,0,_xlfn.BINOM.DIST($G22-I$11,Inputs!$B$6-I$11,$B$4,FALSE))</f>
        <v>1.18216098E-6</v>
      </c>
      <c r="J22" s="24">
        <f>IF($G22&lt;J$11,0,_xlfn.BINOM.DIST($G22-J$11,Inputs!$B$6-J$11,$B$4,FALSE))</f>
        <v>7.5996063000000013E-6</v>
      </c>
      <c r="K22" s="24">
        <f>IF($G22&lt;K$11,0,_xlfn.BINOM.DIST($G22-K$11,Inputs!$B$6-K$11,$B$4,FALSE))</f>
        <v>4.6766808000000043E-5</v>
      </c>
      <c r="L22" s="24">
        <f>IF($G22&lt;L$11,0,_xlfn.BINOM.DIST($G22-L$11,Inputs!$B$6-L$11,$B$4,FALSE))</f>
        <v>2.7280638000000033E-4</v>
      </c>
      <c r="M22" s="24">
        <f>IF($G22&lt;M$11,0,_xlfn.BINOM.DIST($G22-M$11,Inputs!$B$6-M$11,$B$4,FALSE))</f>
        <v>1.4880348000000001E-3</v>
      </c>
      <c r="N22" s="24">
        <f>IF($G22&lt;N$11,0,_xlfn.BINOM.DIST($G22-N$11,Inputs!$B$6-N$11,$B$4,FALSE))</f>
        <v>7.4401739999999991E-3</v>
      </c>
      <c r="O22" s="24">
        <f>IF($G22&lt;O$11,0,_xlfn.BINOM.DIST($G22-O$11,Inputs!$B$6-O$11,$B$4,FALSE))</f>
        <v>3.306744000000001E-2</v>
      </c>
      <c r="P22" s="24">
        <f>IF($G22&lt;P$11,0,_xlfn.BINOM.DIST($G22-P$11,Inputs!$B$6-P$11,$B$4,FALSE))</f>
        <v>0.12400290000000001</v>
      </c>
      <c r="Q22" s="24">
        <f>IF($G22&lt;Q$11,0,_xlfn.BINOM.DIST($G22-Q$11,Inputs!$B$6-Q$11,$B$4,FALSE))</f>
        <v>0.354294</v>
      </c>
      <c r="R22" s="24">
        <f>IF($G22&lt;R$11,0,_xlfn.BINOM.DIST($G22-R$11,Inputs!$B$6-R$11,$B$4,FALSE))</f>
        <v>0.59048999999999996</v>
      </c>
      <c r="S22" s="24">
        <f>IF($G22&lt;S$11,0,_xlfn.BINOM.DIST($G22-S$11,Inputs!$B$6-S$11,$B$4,FALSE))</f>
        <v>0</v>
      </c>
      <c r="T22" s="24">
        <f>IF($G22&lt;T$11,0,_xlfn.BINOM.DIST($G22-T$11,Inputs!$B$6-T$11,$B$4,FALSE))</f>
        <v>0</v>
      </c>
      <c r="U22" s="24">
        <f>IF($G22&lt;U$11,0,_xlfn.BINOM.DIST($G22-U$11,Inputs!$B$6-U$11,$B$4,FALSE))</f>
        <v>0</v>
      </c>
      <c r="V22" s="24">
        <f>IF($G22&lt;V$11,0,_xlfn.BINOM.DIST($G22-V$11,Inputs!$B$6-V$11,$B$4,FALSE))</f>
        <v>0</v>
      </c>
      <c r="W22" s="24">
        <f>IF($G22&lt;W$11,0,_xlfn.BINOM.DIST($G22-W$11,Inputs!$B$6-W$11,$B$4,FALSE))</f>
        <v>0</v>
      </c>
    </row>
    <row r="23" spans="1:23" ht="15" customHeight="1">
      <c r="A23" s="2">
        <v>11</v>
      </c>
      <c r="B23" s="24">
        <f t="shared" si="0"/>
        <v>9.0134793085825497E-3</v>
      </c>
      <c r="C23" s="24">
        <f t="shared" si="1"/>
        <v>0.99754832557668971</v>
      </c>
      <c r="D23" s="2" t="str">
        <f t="shared" si="2"/>
        <v>L2</v>
      </c>
      <c r="E23" s="2"/>
      <c r="G23" s="1">
        <v>11</v>
      </c>
      <c r="H23" s="24">
        <f>IF($G23&lt;H$11,0,_xlfn.BINOM.DIST($G23-H$11,Inputs!$B$6-H$11,$B$4,FALSE))</f>
        <v>8.9557650000000203E-9</v>
      </c>
      <c r="I23" s="24">
        <f>IF($G23&lt;I$11,0,_xlfn.BINOM.DIST($G23-I$11,Inputs!$B$6-I$11,$B$4,FALSE))</f>
        <v>6.5675610000000172E-8</v>
      </c>
      <c r="J23" s="24">
        <f>IF($G23&lt;J$11,0,_xlfn.BINOM.DIST($G23-J$11,Inputs!$B$6-J$11,$B$4,FALSE))</f>
        <v>4.691115000000002E-7</v>
      </c>
      <c r="K23" s="24">
        <f>IF($G23&lt;K$11,0,_xlfn.BINOM.DIST($G23-K$11,Inputs!$B$6-K$11,$B$4,FALSE))</f>
        <v>3.2476950000000054E-6</v>
      </c>
      <c r="L23" s="24">
        <f>IF($G23&lt;L$11,0,_xlfn.BINOM.DIST($G23-L$11,Inputs!$B$6-L$11,$B$4,FALSE))</f>
        <v>2.165129999999999E-5</v>
      </c>
      <c r="M23" s="24">
        <f>IF($G23&lt;M$11,0,_xlfn.BINOM.DIST($G23-M$11,Inputs!$B$6-M$11,$B$4,FALSE))</f>
        <v>1.3778099999999988E-4</v>
      </c>
      <c r="N23" s="24">
        <f>IF($G23&lt;N$11,0,_xlfn.BINOM.DIST($G23-N$11,Inputs!$B$6-N$11,$B$4,FALSE))</f>
        <v>8.2668599999999955E-4</v>
      </c>
      <c r="O23" s="24">
        <f>IF($G23&lt;O$11,0,_xlfn.BINOM.DIST($G23-O$11,Inputs!$B$6-O$11,$B$4,FALSE))</f>
        <v>4.5927000000000025E-3</v>
      </c>
      <c r="P23" s="24">
        <f>IF($G23&lt;P$11,0,_xlfn.BINOM.DIST($G23-P$11,Inputs!$B$6-P$11,$B$4,FALSE))</f>
        <v>2.2963500000000019E-2</v>
      </c>
      <c r="Q23" s="24">
        <f>IF($G23&lt;Q$11,0,_xlfn.BINOM.DIST($G23-Q$11,Inputs!$B$6-Q$11,$B$4,FALSE))</f>
        <v>9.8415000000000002E-2</v>
      </c>
      <c r="R23" s="24">
        <f>IF($G23&lt;R$11,0,_xlfn.BINOM.DIST($G23-R$11,Inputs!$B$6-R$11,$B$4,FALSE))</f>
        <v>0.32805000000000001</v>
      </c>
      <c r="S23" s="24">
        <f>IF($G23&lt;S$11,0,_xlfn.BINOM.DIST($G23-S$11,Inputs!$B$6-S$11,$B$4,FALSE))</f>
        <v>0.65610000000000002</v>
      </c>
      <c r="T23" s="24">
        <f>IF($G23&lt;T$11,0,_xlfn.BINOM.DIST($G23-T$11,Inputs!$B$6-T$11,$B$4,FALSE))</f>
        <v>0</v>
      </c>
      <c r="U23" s="24">
        <f>IF($G23&lt;U$11,0,_xlfn.BINOM.DIST($G23-U$11,Inputs!$B$6-U$11,$B$4,FALSE))</f>
        <v>0</v>
      </c>
      <c r="V23" s="24">
        <f>IF($G23&lt;V$11,0,_xlfn.BINOM.DIST($G23-V$11,Inputs!$B$6-V$11,$B$4,FALSE))</f>
        <v>0</v>
      </c>
      <c r="W23" s="24">
        <f>IF($G23&lt;W$11,0,_xlfn.BINOM.DIST($G23-W$11,Inputs!$B$6-W$11,$B$4,FALSE))</f>
        <v>0</v>
      </c>
    </row>
    <row r="24" spans="1:23" ht="15" customHeight="1">
      <c r="A24" s="2">
        <v>12</v>
      </c>
      <c r="B24" s="24">
        <f t="shared" si="0"/>
        <v>2.0836423488163132E-3</v>
      </c>
      <c r="C24" s="24">
        <f t="shared" si="1"/>
        <v>0.99963196792550613</v>
      </c>
      <c r="D24" s="2" t="str">
        <f t="shared" si="2"/>
        <v>L3</v>
      </c>
      <c r="E24" s="2"/>
      <c r="G24" s="1">
        <v>12</v>
      </c>
      <c r="H24" s="24">
        <f>IF($G24&lt;H$11,0,_xlfn.BINOM.DIST($G24-H$11,Inputs!$B$6-H$11,$B$4,FALSE))</f>
        <v>3.3169500000000198E-10</v>
      </c>
      <c r="I24" s="24">
        <f>IF($G24&lt;I$11,0,_xlfn.BINOM.DIST($G24-I$11,Inputs!$B$6-I$11,$B$4,FALSE))</f>
        <v>2.6535599999999889E-9</v>
      </c>
      <c r="J24" s="24">
        <f>IF($G24&lt;J$11,0,_xlfn.BINOM.DIST($G24-J$11,Inputs!$B$6-J$11,$B$4,FALSE))</f>
        <v>2.0849400000000045E-8</v>
      </c>
      <c r="K24" s="24">
        <f>IF($G24&lt;K$11,0,_xlfn.BINOM.DIST($G24-K$11,Inputs!$B$6-K$11,$B$4,FALSE))</f>
        <v>1.6038000000000046E-7</v>
      </c>
      <c r="L24" s="24">
        <f>IF($G24&lt;L$11,0,_xlfn.BINOM.DIST($G24-L$11,Inputs!$B$6-L$11,$B$4,FALSE))</f>
        <v>1.2028500000000034E-6</v>
      </c>
      <c r="M24" s="24">
        <f>IF($G24&lt;M$11,0,_xlfn.BINOM.DIST($G24-M$11,Inputs!$B$6-M$11,$B$4,FALSE))</f>
        <v>8.7480000000000084E-6</v>
      </c>
      <c r="N24" s="24">
        <f>IF($G24&lt;N$11,0,_xlfn.BINOM.DIST($G24-N$11,Inputs!$B$6-N$11,$B$4,FALSE))</f>
        <v>6.1235999999999954E-5</v>
      </c>
      <c r="O24" s="24">
        <f>IF($G24&lt;O$11,0,_xlfn.BINOM.DIST($G24-O$11,Inputs!$B$6-O$11,$B$4,FALSE))</f>
        <v>4.0823999999999966E-4</v>
      </c>
      <c r="P24" s="24">
        <f>IF($G24&lt;P$11,0,_xlfn.BINOM.DIST($G24-P$11,Inputs!$B$6-P$11,$B$4,FALSE))</f>
        <v>2.5515000000000017E-3</v>
      </c>
      <c r="Q24" s="24">
        <f>IF($G24&lt;Q$11,0,_xlfn.BINOM.DIST($G24-Q$11,Inputs!$B$6-Q$11,$B$4,FALSE))</f>
        <v>1.4580000000000011E-2</v>
      </c>
      <c r="R24" s="24">
        <f>IF($G24&lt;R$11,0,_xlfn.BINOM.DIST($G24-R$11,Inputs!$B$6-R$11,$B$4,FALSE))</f>
        <v>7.2899999999999979E-2</v>
      </c>
      <c r="S24" s="24">
        <f>IF($G24&lt;S$11,0,_xlfn.BINOM.DIST($G24-S$11,Inputs!$B$6-S$11,$B$4,FALSE))</f>
        <v>0.29159999999999991</v>
      </c>
      <c r="T24" s="24">
        <f>IF($G24&lt;T$11,0,_xlfn.BINOM.DIST($G24-T$11,Inputs!$B$6-T$11,$B$4,FALSE))</f>
        <v>0.72899999999999998</v>
      </c>
      <c r="U24" s="24">
        <f>IF($G24&lt;U$11,0,_xlfn.BINOM.DIST($G24-U$11,Inputs!$B$6-U$11,$B$4,FALSE))</f>
        <v>0</v>
      </c>
      <c r="V24" s="24">
        <f>IF($G24&lt;V$11,0,_xlfn.BINOM.DIST($G24-V$11,Inputs!$B$6-V$11,$B$4,FALSE))</f>
        <v>0</v>
      </c>
      <c r="W24" s="24">
        <f>IF($G24&lt;W$11,0,_xlfn.BINOM.DIST($G24-W$11,Inputs!$B$6-W$11,$B$4,FALSE))</f>
        <v>0</v>
      </c>
    </row>
    <row r="25" spans="1:23" ht="15" customHeight="1">
      <c r="A25" s="2">
        <v>13</v>
      </c>
      <c r="B25" s="24">
        <f t="shared" si="0"/>
        <v>3.3346713808627088E-4</v>
      </c>
      <c r="C25" s="24">
        <f t="shared" si="1"/>
        <v>0.99996543506359226</v>
      </c>
      <c r="D25" s="2" t="str">
        <f t="shared" si="2"/>
        <v>L3</v>
      </c>
      <c r="E25" s="2"/>
      <c r="G25" s="1">
        <v>13</v>
      </c>
      <c r="H25" s="24">
        <f>IF($G25&lt;H$11,0,_xlfn.BINOM.DIST($G25-H$11,Inputs!$B$6-H$11,$B$4,FALSE))</f>
        <v>8.5050000000000248E-12</v>
      </c>
      <c r="I25" s="24">
        <f>IF($G25&lt;I$11,0,_xlfn.BINOM.DIST($G25-I$11,Inputs!$B$6-I$11,$B$4,FALSE))</f>
        <v>7.3710000000000165E-11</v>
      </c>
      <c r="J25" s="24">
        <f>IF($G25&lt;J$11,0,_xlfn.BINOM.DIST($G25-J$11,Inputs!$B$6-J$11,$B$4,FALSE))</f>
        <v>6.3179999999999993E-10</v>
      </c>
      <c r="K25" s="24">
        <f>IF($G25&lt;K$11,0,_xlfn.BINOM.DIST($G25-K$11,Inputs!$B$6-K$11,$B$4,FALSE))</f>
        <v>5.3459999999999822E-9</v>
      </c>
      <c r="L25" s="24">
        <f>IF($G25&lt;L$11,0,_xlfn.BINOM.DIST($G25-L$11,Inputs!$B$6-L$11,$B$4,FALSE))</f>
        <v>4.4550000000000151E-8</v>
      </c>
      <c r="M25" s="24">
        <f>IF($G25&lt;M$11,0,_xlfn.BINOM.DIST($G25-M$11,Inputs!$B$6-M$11,$B$4,FALSE))</f>
        <v>3.6450000000000065E-7</v>
      </c>
      <c r="N25" s="24">
        <f>IF($G25&lt;N$11,0,_xlfn.BINOM.DIST($G25-N$11,Inputs!$B$6-N$11,$B$4,FALSE))</f>
        <v>2.9159999999999984E-6</v>
      </c>
      <c r="O25" s="24">
        <f>IF($G25&lt;O$11,0,_xlfn.BINOM.DIST($G25-O$11,Inputs!$B$6-O$11,$B$4,FALSE))</f>
        <v>2.2680000000000057E-5</v>
      </c>
      <c r="P25" s="24">
        <f>IF($G25&lt;P$11,0,_xlfn.BINOM.DIST($G25-P$11,Inputs!$B$6-P$11,$B$4,FALSE))</f>
        <v>1.7010000000000018E-4</v>
      </c>
      <c r="Q25" s="24">
        <f>IF($G25&lt;Q$11,0,_xlfn.BINOM.DIST($G25-Q$11,Inputs!$B$6-Q$11,$B$4,FALSE))</f>
        <v>1.2150000000000012E-3</v>
      </c>
      <c r="R25" s="24">
        <f>IF($G25&lt;R$11,0,_xlfn.BINOM.DIST($G25-R$11,Inputs!$B$6-R$11,$B$4,FALSE))</f>
        <v>8.0999999999999961E-3</v>
      </c>
      <c r="S25" s="24">
        <f>IF($G25&lt;S$11,0,_xlfn.BINOM.DIST($G25-S$11,Inputs!$B$6-S$11,$B$4,FALSE))</f>
        <v>4.8600000000000011E-2</v>
      </c>
      <c r="T25" s="24">
        <f>IF($G25&lt;T$11,0,_xlfn.BINOM.DIST($G25-T$11,Inputs!$B$6-T$11,$B$4,FALSE))</f>
        <v>0.24299999999999999</v>
      </c>
      <c r="U25" s="24">
        <f>IF($G25&lt;U$11,0,_xlfn.BINOM.DIST($G25-U$11,Inputs!$B$6-U$11,$B$4,FALSE))</f>
        <v>0.80999999999999994</v>
      </c>
      <c r="V25" s="24">
        <f>IF($G25&lt;V$11,0,_xlfn.BINOM.DIST($G25-V$11,Inputs!$B$6-V$11,$B$4,FALSE))</f>
        <v>0</v>
      </c>
      <c r="W25" s="24">
        <f>IF($G25&lt;W$11,0,_xlfn.BINOM.DIST($G25-W$11,Inputs!$B$6-W$11,$B$4,FALSE))</f>
        <v>0</v>
      </c>
    </row>
    <row r="26" spans="1:23" ht="15" customHeight="1">
      <c r="A26" s="2">
        <v>14</v>
      </c>
      <c r="B26" s="24">
        <f t="shared" si="0"/>
        <v>3.3037484055060414E-5</v>
      </c>
      <c r="C26" s="24">
        <f t="shared" si="1"/>
        <v>0.9999984725476474</v>
      </c>
      <c r="D26" s="2" t="str">
        <f t="shared" si="2"/>
        <v>L4</v>
      </c>
      <c r="E26" s="2"/>
      <c r="G26" s="1">
        <v>14</v>
      </c>
      <c r="H26" s="24">
        <f>IF($G26&lt;H$11,0,_xlfn.BINOM.DIST($G26-H$11,Inputs!$B$6-H$11,$B$4,FALSE))</f>
        <v>1.3500000000000046E-13</v>
      </c>
      <c r="I26" s="24">
        <f>IF($G26&lt;I$11,0,_xlfn.BINOM.DIST($G26-I$11,Inputs!$B$6-I$11,$B$4,FALSE))</f>
        <v>1.2600000000000051E-12</v>
      </c>
      <c r="J26" s="24">
        <f>IF($G26&lt;J$11,0,_xlfn.BINOM.DIST($G26-J$11,Inputs!$B$6-J$11,$B$4,FALSE))</f>
        <v>1.1699999999999963E-11</v>
      </c>
      <c r="K26" s="24">
        <f>IF($G26&lt;K$11,0,_xlfn.BINOM.DIST($G26-K$11,Inputs!$B$6-K$11,$B$4,FALSE))</f>
        <v>1.0799999999999989E-10</v>
      </c>
      <c r="L26" s="24">
        <f>IF($G26&lt;L$11,0,_xlfn.BINOM.DIST($G26-L$11,Inputs!$B$6-L$11,$B$4,FALSE))</f>
        <v>9.9000000000000175E-10</v>
      </c>
      <c r="M26" s="24">
        <f>IF($G26&lt;M$11,0,_xlfn.BINOM.DIST($G26-M$11,Inputs!$B$6-M$11,$B$4,FALSE))</f>
        <v>8.9999999999999962E-9</v>
      </c>
      <c r="N26" s="24">
        <f>IF($G26&lt;N$11,0,_xlfn.BINOM.DIST($G26-N$11,Inputs!$B$6-N$11,$B$4,FALSE))</f>
        <v>8.1000000000000117E-8</v>
      </c>
      <c r="O26" s="24">
        <f>IF($G26&lt;O$11,0,_xlfn.BINOM.DIST($G26-O$11,Inputs!$B$6-O$11,$B$4,FALSE))</f>
        <v>7.1999999999999882E-7</v>
      </c>
      <c r="P26" s="24">
        <f>IF($G26&lt;P$11,0,_xlfn.BINOM.DIST($G26-P$11,Inputs!$B$6-P$11,$B$4,FALSE))</f>
        <v>6.3000000000000117E-6</v>
      </c>
      <c r="Q26" s="24">
        <f>IF($G26&lt;Q$11,0,_xlfn.BINOM.DIST($G26-Q$11,Inputs!$B$6-Q$11,$B$4,FALSE))</f>
        <v>5.3999999999999998E-5</v>
      </c>
      <c r="R26" s="24">
        <f>IF($G26&lt;R$11,0,_xlfn.BINOM.DIST($G26-R$11,Inputs!$B$6-R$11,$B$4,FALSE))</f>
        <v>4.5000000000000064E-4</v>
      </c>
      <c r="S26" s="24">
        <f>IF($G26&lt;S$11,0,_xlfn.BINOM.DIST($G26-S$11,Inputs!$B$6-S$11,$B$4,FALSE))</f>
        <v>3.6000000000000025E-3</v>
      </c>
      <c r="T26" s="24">
        <f>IF($G26&lt;T$11,0,_xlfn.BINOM.DIST($G26-T$11,Inputs!$B$6-T$11,$B$4,FALSE))</f>
        <v>2.7E-2</v>
      </c>
      <c r="U26" s="24">
        <f>IF($G26&lt;U$11,0,_xlfn.BINOM.DIST($G26-U$11,Inputs!$B$6-U$11,$B$4,FALSE))</f>
        <v>0.18000000000000002</v>
      </c>
      <c r="V26" s="24">
        <f>IF($G26&lt;V$11,0,_xlfn.BINOM.DIST($G26-V$11,Inputs!$B$6-V$11,$B$4,FALSE))</f>
        <v>0.9</v>
      </c>
      <c r="W26" s="24">
        <f>IF($G26&lt;W$11,0,_xlfn.BINOM.DIST($G26-W$11,Inputs!$B$6-W$11,$B$4,FALSE))</f>
        <v>0</v>
      </c>
    </row>
    <row r="27" spans="1:23" ht="15" customHeight="1">
      <c r="A27" s="2">
        <v>15</v>
      </c>
      <c r="B27" s="24">
        <f t="shared" si="0"/>
        <v>1.5274523526097305E-6</v>
      </c>
      <c r="C27" s="24">
        <f t="shared" si="1"/>
        <v>1</v>
      </c>
      <c r="D27" s="2" t="str">
        <f t="shared" si="2"/>
        <v>L5</v>
      </c>
      <c r="E27" s="2"/>
      <c r="G27" s="1">
        <v>15</v>
      </c>
      <c r="H27" s="24">
        <f>IF($G27&lt;H$11,0,_xlfn.BINOM.DIST($G27-H$11,Inputs!$B$6-H$11,$B$4,FALSE))</f>
        <v>1.0000000000000013E-15</v>
      </c>
      <c r="I27" s="24">
        <f>IF($G27&lt;I$11,0,_xlfn.BINOM.DIST($G27-I$11,Inputs!$B$6-I$11,$B$4,FALSE))</f>
        <v>1.0000000000000058E-14</v>
      </c>
      <c r="J27" s="24">
        <f>IF($G27&lt;J$11,0,_xlfn.BINOM.DIST($G27-J$11,Inputs!$B$6-J$11,$B$4,FALSE))</f>
        <v>1.0000000000000034E-13</v>
      </c>
      <c r="K27" s="24">
        <f>IF($G27&lt;K$11,0,_xlfn.BINOM.DIST($G27-K$11,Inputs!$B$6-K$11,$B$4,FALSE))</f>
        <v>1.000000000000001E-12</v>
      </c>
      <c r="L27" s="24">
        <f>IF($G27&lt;L$11,0,_xlfn.BINOM.DIST($G27-L$11,Inputs!$B$6-L$11,$B$4,FALSE))</f>
        <v>1.000000000000002E-11</v>
      </c>
      <c r="M27" s="24">
        <f>IF($G27&lt;M$11,0,_xlfn.BINOM.DIST($G27-M$11,Inputs!$B$6-M$11,$B$4,FALSE))</f>
        <v>1.0000000000000031E-10</v>
      </c>
      <c r="N27" s="24">
        <f>IF($G27&lt;N$11,0,_xlfn.BINOM.DIST($G27-N$11,Inputs!$B$6-N$11,$B$4,FALSE))</f>
        <v>1.0000000000000007E-9</v>
      </c>
      <c r="O27" s="24">
        <f>IF($G27&lt;O$11,0,_xlfn.BINOM.DIST($G27-O$11,Inputs!$B$6-O$11,$B$4,FALSE))</f>
        <v>1.0000000000000018E-8</v>
      </c>
      <c r="P27" s="24">
        <f>IF($G27&lt;P$11,0,_xlfn.BINOM.DIST($G27-P$11,Inputs!$B$6-P$11,$B$4,FALSE))</f>
        <v>1.0000000000000029E-7</v>
      </c>
      <c r="Q27" s="24">
        <f>IF($G27&lt;Q$11,0,_xlfn.BINOM.DIST($G27-Q$11,Inputs!$B$6-Q$11,$B$4,FALSE))</f>
        <v>1.0000000000000004E-6</v>
      </c>
      <c r="R27" s="24">
        <f>IF($G27&lt;R$11,0,_xlfn.BINOM.DIST($G27-R$11,Inputs!$B$6-R$11,$B$4,FALSE))</f>
        <v>1.0000000000000016E-5</v>
      </c>
      <c r="S27" s="24">
        <f>IF($G27&lt;S$11,0,_xlfn.BINOM.DIST($G27-S$11,Inputs!$B$6-S$11,$B$4,FALSE))</f>
        <v>1.0000000000000009E-4</v>
      </c>
      <c r="T27" s="24">
        <f>IF($G27&lt;T$11,0,_xlfn.BINOM.DIST($G27-T$11,Inputs!$B$6-T$11,$B$4,FALSE))</f>
        <v>1.0000000000000002E-3</v>
      </c>
      <c r="U27" s="24">
        <f>IF($G27&lt;U$11,0,_xlfn.BINOM.DIST($G27-U$11,Inputs!$B$6-U$11,$B$4,FALSE))</f>
        <v>1.0000000000000004E-2</v>
      </c>
      <c r="V27" s="24">
        <f>IF($G27&lt;V$11,0,_xlfn.BINOM.DIST($G27-V$11,Inputs!$B$6-V$11,$B$4,FALSE))</f>
        <v>0.10000000000000002</v>
      </c>
      <c r="W27" s="24">
        <f>IF($G27&lt;W$11,0,_xlfn.BINOM.DIST($G27-W$11,Inputs!$B$6-W$11,$B$4,FALSE))</f>
        <v>1</v>
      </c>
    </row>
    <row r="30" spans="1:23" ht="15" customHeight="1">
      <c r="A30" s="25" t="s">
        <v>76</v>
      </c>
      <c r="B30" s="26"/>
      <c r="C30" s="26"/>
      <c r="D30" s="26"/>
      <c r="E30" s="27"/>
      <c r="G30" s="25" t="s">
        <v>77</v>
      </c>
      <c r="H30" s="26"/>
      <c r="I30" s="26"/>
      <c r="J30" s="26"/>
      <c r="K30" s="26"/>
      <c r="L30" s="26"/>
      <c r="M30" s="27"/>
    </row>
    <row r="31" spans="1:23" ht="15" customHeight="1">
      <c r="A31" s="1" t="s">
        <v>78</v>
      </c>
      <c r="B31" s="1" t="s">
        <v>79</v>
      </c>
      <c r="C31" s="1" t="s">
        <v>80</v>
      </c>
      <c r="D31" s="1" t="s">
        <v>81</v>
      </c>
      <c r="E31" s="1" t="s">
        <v>82</v>
      </c>
      <c r="G31" s="1" t="s">
        <v>83</v>
      </c>
      <c r="H31" s="1" t="s">
        <v>84</v>
      </c>
      <c r="I31" s="1" t="s">
        <v>85</v>
      </c>
      <c r="J31" s="1" t="s">
        <v>86</v>
      </c>
      <c r="K31" s="1" t="s">
        <v>87</v>
      </c>
      <c r="L31" s="1" t="s">
        <v>88</v>
      </c>
      <c r="M31" s="1" t="s">
        <v>89</v>
      </c>
    </row>
    <row r="32" spans="1:23" ht="15" customHeight="1">
      <c r="A32" s="2">
        <v>0</v>
      </c>
      <c r="B32" s="24">
        <f t="shared" ref="B32:B47" si="3">B12</f>
        <v>3.6998848503512846E-4</v>
      </c>
      <c r="C32" s="24">
        <f t="shared" ref="C32:C47" si="4">M32</f>
        <v>3.6998848503512683E-4</v>
      </c>
      <c r="D32" s="24">
        <f t="shared" ref="D32:D47" si="5">B32-C32</f>
        <v>1.6263032587282567E-18</v>
      </c>
      <c r="E32" s="10" t="str">
        <f t="shared" ref="E32:E47" si="6">IF(ABS(D32)&lt;0.0000001,"OK","Check")</f>
        <v>OK</v>
      </c>
      <c r="G32" s="2">
        <v>0</v>
      </c>
      <c r="H32" s="24">
        <f t="shared" ref="H32:H47" si="7">IF($G32=0,1,0)</f>
        <v>1</v>
      </c>
      <c r="I32" s="24">
        <f t="shared" ref="I32:M41" si="8">MMULT($H12:$W12,H$32:H$47)</f>
        <v>0.20589113209464899</v>
      </c>
      <c r="J32" s="24">
        <f t="shared" si="8"/>
        <v>4.2391158275216195E-2</v>
      </c>
      <c r="K32" s="24">
        <f t="shared" si="8"/>
        <v>8.7279635680877106E-3</v>
      </c>
      <c r="L32" s="24">
        <f t="shared" si="8"/>
        <v>1.7970102999144307E-3</v>
      </c>
      <c r="M32" s="24">
        <f t="shared" si="8"/>
        <v>3.6998848503512683E-4</v>
      </c>
    </row>
    <row r="33" spans="1:13" ht="15" customHeight="1">
      <c r="A33" s="2">
        <v>1</v>
      </c>
      <c r="B33" s="24">
        <f t="shared" si="3"/>
        <v>3.8488539477400676E-3</v>
      </c>
      <c r="C33" s="24">
        <f t="shared" si="4"/>
        <v>3.8488539477400494E-3</v>
      </c>
      <c r="D33" s="24">
        <f t="shared" si="5"/>
        <v>1.8214596497756474E-17</v>
      </c>
      <c r="E33" s="10" t="str">
        <f t="shared" si="6"/>
        <v>OK</v>
      </c>
      <c r="G33" s="2">
        <v>1</v>
      </c>
      <c r="H33" s="24">
        <f t="shared" si="7"/>
        <v>0</v>
      </c>
      <c r="I33" s="24">
        <f t="shared" si="8"/>
        <v>0.343151886824415</v>
      </c>
      <c r="J33" s="24">
        <f t="shared" si="8"/>
        <v>0.14915407541279774</v>
      </c>
      <c r="K33" s="24">
        <f t="shared" si="8"/>
        <v>4.8668274217114602E-2</v>
      </c>
      <c r="L33" s="24">
        <f t="shared" si="8"/>
        <v>1.4128757250584652E-2</v>
      </c>
      <c r="M33" s="24">
        <f t="shared" si="8"/>
        <v>3.8488539477400494E-3</v>
      </c>
    </row>
    <row r="34" spans="1:13" ht="15" customHeight="1">
      <c r="A34" s="2">
        <v>2</v>
      </c>
      <c r="B34" s="24">
        <f t="shared" si="3"/>
        <v>1.8684498062580632E-2</v>
      </c>
      <c r="C34" s="24">
        <f t="shared" si="4"/>
        <v>1.8684498062580563E-2</v>
      </c>
      <c r="D34" s="24">
        <f t="shared" si="5"/>
        <v>6.9388939039072284E-17</v>
      </c>
      <c r="E34" s="10" t="str">
        <f t="shared" si="6"/>
        <v>OK</v>
      </c>
      <c r="G34" s="2">
        <v>2</v>
      </c>
      <c r="H34" s="24">
        <f t="shared" si="7"/>
        <v>0</v>
      </c>
      <c r="I34" s="24">
        <f t="shared" si="8"/>
        <v>0.26689591197454504</v>
      </c>
      <c r="J34" s="24">
        <f t="shared" si="8"/>
        <v>0.24490730901113703</v>
      </c>
      <c r="K34" s="24">
        <f t="shared" si="8"/>
        <v>0.12664432947855475</v>
      </c>
      <c r="L34" s="24">
        <f t="shared" si="8"/>
        <v>5.183989838337516E-2</v>
      </c>
      <c r="M34" s="24">
        <f t="shared" si="8"/>
        <v>1.8684498062580563E-2</v>
      </c>
    </row>
    <row r="35" spans="1:13" ht="15" customHeight="1">
      <c r="A35" s="2">
        <v>3</v>
      </c>
      <c r="B35" s="24">
        <f t="shared" si="3"/>
        <v>5.6150741712191581E-2</v>
      </c>
      <c r="C35" s="24">
        <f t="shared" si="4"/>
        <v>5.6150741712191435E-2</v>
      </c>
      <c r="D35" s="24">
        <f t="shared" si="5"/>
        <v>1.457167719820518E-16</v>
      </c>
      <c r="E35" s="10" t="str">
        <f t="shared" si="6"/>
        <v>OK</v>
      </c>
      <c r="G35" s="2">
        <v>3</v>
      </c>
      <c r="H35" s="24">
        <f t="shared" si="7"/>
        <v>0</v>
      </c>
      <c r="I35" s="24">
        <f t="shared" si="8"/>
        <v>0.12850543909885501</v>
      </c>
      <c r="J35" s="24">
        <f t="shared" si="8"/>
        <v>0.2489387050442422</v>
      </c>
      <c r="K35" s="24">
        <f t="shared" si="8"/>
        <v>0.20400913248877384</v>
      </c>
      <c r="L35" s="24">
        <f t="shared" si="8"/>
        <v>0.11774660046870666</v>
      </c>
      <c r="M35" s="24">
        <f t="shared" si="8"/>
        <v>5.6150741712191435E-2</v>
      </c>
    </row>
    <row r="36" spans="1:13" ht="15" customHeight="1">
      <c r="A36" s="2">
        <v>4</v>
      </c>
      <c r="B36" s="24">
        <f t="shared" si="3"/>
        <v>0.11682309728476123</v>
      </c>
      <c r="C36" s="24">
        <f t="shared" si="4"/>
        <v>0.11682309728476103</v>
      </c>
      <c r="D36" s="24">
        <f t="shared" si="5"/>
        <v>1.9428902930940239E-16</v>
      </c>
      <c r="E36" s="10" t="str">
        <f t="shared" si="6"/>
        <v>OK</v>
      </c>
      <c r="G36" s="2">
        <v>4</v>
      </c>
      <c r="H36" s="24">
        <f t="shared" si="7"/>
        <v>0</v>
      </c>
      <c r="I36" s="24">
        <f t="shared" si="8"/>
        <v>4.2835146366285E-2</v>
      </c>
      <c r="J36" s="24">
        <f t="shared" si="8"/>
        <v>0.17517908873483706</v>
      </c>
      <c r="K36" s="24">
        <f t="shared" si="8"/>
        <v>0.22751635763151318</v>
      </c>
      <c r="L36" s="24">
        <f t="shared" si="8"/>
        <v>0.18515343347594065</v>
      </c>
      <c r="M36" s="24">
        <f t="shared" si="8"/>
        <v>0.11682309728476103</v>
      </c>
    </row>
    <row r="37" spans="1:13" ht="15" customHeight="1">
      <c r="A37" s="2">
        <v>5</v>
      </c>
      <c r="B37" s="24">
        <f t="shared" si="3"/>
        <v>0.17823925629897472</v>
      </c>
      <c r="C37" s="24">
        <f t="shared" si="4"/>
        <v>0.17823925629897452</v>
      </c>
      <c r="D37" s="24">
        <f t="shared" si="5"/>
        <v>0</v>
      </c>
      <c r="E37" s="10" t="str">
        <f t="shared" si="6"/>
        <v>OK</v>
      </c>
      <c r="G37" s="2">
        <v>5</v>
      </c>
      <c r="H37" s="24">
        <f t="shared" si="7"/>
        <v>0</v>
      </c>
      <c r="I37" s="24">
        <f t="shared" si="8"/>
        <v>1.0470813556202989E-2</v>
      </c>
      <c r="J37" s="24">
        <f t="shared" si="8"/>
        <v>9.0401060606372721E-2</v>
      </c>
      <c r="K37" s="24">
        <f t="shared" si="8"/>
        <v>0.18607030510275469</v>
      </c>
      <c r="L37" s="24">
        <f t="shared" si="8"/>
        <v>0.21350919783451786</v>
      </c>
      <c r="M37" s="24">
        <f t="shared" si="8"/>
        <v>0.17823925629897452</v>
      </c>
    </row>
    <row r="38" spans="1:13" ht="15" customHeight="1">
      <c r="A38" s="2">
        <v>6</v>
      </c>
      <c r="B38" s="24">
        <f t="shared" si="3"/>
        <v>0.20601748222378333</v>
      </c>
      <c r="C38" s="24">
        <f t="shared" si="4"/>
        <v>0.20601748222378327</v>
      </c>
      <c r="D38" s="24">
        <f t="shared" si="5"/>
        <v>0</v>
      </c>
      <c r="E38" s="10" t="str">
        <f t="shared" si="6"/>
        <v>OK</v>
      </c>
      <c r="G38" s="2">
        <v>6</v>
      </c>
      <c r="H38" s="24">
        <f t="shared" si="7"/>
        <v>0</v>
      </c>
      <c r="I38" s="24">
        <f t="shared" si="8"/>
        <v>1.939039547445001E-3</v>
      </c>
      <c r="J38" s="24">
        <f t="shared" si="8"/>
        <v>3.5341978426359708E-2</v>
      </c>
      <c r="K38" s="24">
        <f t="shared" si="8"/>
        <v>0.11528361381537842</v>
      </c>
      <c r="L38" s="24">
        <f t="shared" si="8"/>
        <v>0.18652088892773128</v>
      </c>
      <c r="M38" s="24">
        <f t="shared" si="8"/>
        <v>0.20601748222378327</v>
      </c>
    </row>
    <row r="39" spans="1:13" ht="15" customHeight="1">
      <c r="A39" s="2">
        <v>7</v>
      </c>
      <c r="B39" s="24">
        <f t="shared" si="3"/>
        <v>0.18369634233775653</v>
      </c>
      <c r="C39" s="24">
        <f t="shared" si="4"/>
        <v>0.18369634233775667</v>
      </c>
      <c r="D39" s="24">
        <f t="shared" si="5"/>
        <v>0</v>
      </c>
      <c r="E39" s="10" t="str">
        <f t="shared" si="6"/>
        <v>OK</v>
      </c>
      <c r="G39" s="2">
        <v>7</v>
      </c>
      <c r="H39" s="24">
        <f t="shared" si="7"/>
        <v>0</v>
      </c>
      <c r="I39" s="24">
        <f t="shared" si="8"/>
        <v>2.7700564963500002E-4</v>
      </c>
      <c r="J39" s="24">
        <f t="shared" si="8"/>
        <v>1.0658691906362453E-2</v>
      </c>
      <c r="K39" s="24">
        <f t="shared" si="8"/>
        <v>5.5100281029925147E-2</v>
      </c>
      <c r="L39" s="24">
        <f t="shared" si="8"/>
        <v>0.1256996545213537</v>
      </c>
      <c r="M39" s="24">
        <f t="shared" si="8"/>
        <v>0.18369634233775667</v>
      </c>
    </row>
    <row r="40" spans="1:13" ht="15" customHeight="1">
      <c r="A40" s="2">
        <v>8</v>
      </c>
      <c r="B40" s="24">
        <f t="shared" si="3"/>
        <v>0.12739502641998113</v>
      </c>
      <c r="C40" s="24">
        <f t="shared" si="4"/>
        <v>0.12739502641998124</v>
      </c>
      <c r="D40" s="24">
        <f t="shared" si="5"/>
        <v>0</v>
      </c>
      <c r="E40" s="10" t="str">
        <f t="shared" si="6"/>
        <v>OK</v>
      </c>
      <c r="G40" s="2">
        <v>8</v>
      </c>
      <c r="H40" s="24">
        <f t="shared" si="7"/>
        <v>0</v>
      </c>
      <c r="I40" s="24">
        <f t="shared" si="8"/>
        <v>3.0778405515000034E-5</v>
      </c>
      <c r="J40" s="24">
        <f t="shared" si="8"/>
        <v>2.5001869903813157E-3</v>
      </c>
      <c r="K40" s="24">
        <f t="shared" si="8"/>
        <v>2.0483094868463256E-2</v>
      </c>
      <c r="L40" s="24">
        <f t="shared" si="8"/>
        <v>6.5886467291409137E-2</v>
      </c>
      <c r="M40" s="24">
        <f t="shared" si="8"/>
        <v>0.12739502641998124</v>
      </c>
    </row>
    <row r="41" spans="1:13" ht="15" customHeight="1">
      <c r="A41" s="2">
        <v>9</v>
      </c>
      <c r="B41" s="24">
        <f t="shared" si="3"/>
        <v>6.871633180065613E-2</v>
      </c>
      <c r="C41" s="24">
        <f t="shared" si="4"/>
        <v>6.8716331800656255E-2</v>
      </c>
      <c r="D41" s="24">
        <f t="shared" si="5"/>
        <v>-1.2490009027033011E-16</v>
      </c>
      <c r="E41" s="10" t="str">
        <f t="shared" si="6"/>
        <v>OK</v>
      </c>
      <c r="G41" s="2">
        <v>9</v>
      </c>
      <c r="H41" s="24">
        <f t="shared" si="7"/>
        <v>0</v>
      </c>
      <c r="I41" s="24">
        <f t="shared" si="8"/>
        <v>2.6598622049999972E-6</v>
      </c>
      <c r="J41" s="24">
        <f t="shared" si="8"/>
        <v>4.5613836724377931E-4</v>
      </c>
      <c r="K41" s="24">
        <f t="shared" si="8"/>
        <v>5.9223336329027286E-3</v>
      </c>
      <c r="L41" s="24">
        <f t="shared" si="8"/>
        <v>2.6860487512169431E-2</v>
      </c>
      <c r="M41" s="24">
        <f t="shared" si="8"/>
        <v>6.8716331800656255E-2</v>
      </c>
    </row>
    <row r="42" spans="1:13" ht="15" customHeight="1">
      <c r="A42" s="2">
        <v>10</v>
      </c>
      <c r="B42" s="24">
        <f t="shared" si="3"/>
        <v>2.8593227694646832E-2</v>
      </c>
      <c r="C42" s="24">
        <f t="shared" si="4"/>
        <v>2.8593227694646905E-2</v>
      </c>
      <c r="D42" s="24">
        <f t="shared" si="5"/>
        <v>-7.2858385991025898E-17</v>
      </c>
      <c r="E42" s="10" t="str">
        <f t="shared" si="6"/>
        <v>OK</v>
      </c>
      <c r="G42" s="2">
        <v>10</v>
      </c>
      <c r="H42" s="24">
        <f t="shared" si="7"/>
        <v>0</v>
      </c>
      <c r="I42" s="24">
        <f t="shared" ref="I42:M51" si="9">MMULT($H22:$W22,H$32:H$47)</f>
        <v>1.773241469999999E-7</v>
      </c>
      <c r="J42" s="24">
        <f t="shared" si="9"/>
        <v>6.4197251686161518E-5</v>
      </c>
      <c r="K42" s="24">
        <f t="shared" si="9"/>
        <v>1.3209484893141066E-3</v>
      </c>
      <c r="L42" s="24">
        <f t="shared" si="9"/>
        <v>8.4474820808734044E-3</v>
      </c>
      <c r="M42" s="24">
        <f t="shared" si="9"/>
        <v>2.8593227694646905E-2</v>
      </c>
    </row>
    <row r="43" spans="1:13" ht="15" customHeight="1">
      <c r="A43" s="2">
        <v>11</v>
      </c>
      <c r="B43" s="24">
        <f t="shared" si="3"/>
        <v>9.0134793085825497E-3</v>
      </c>
      <c r="C43" s="24">
        <f t="shared" si="4"/>
        <v>9.0134793085825914E-3</v>
      </c>
      <c r="D43" s="24">
        <f t="shared" si="5"/>
        <v>-4.163336342344337E-17</v>
      </c>
      <c r="E43" s="10" t="str">
        <f t="shared" si="6"/>
        <v>OK</v>
      </c>
      <c r="G43" s="2">
        <v>11</v>
      </c>
      <c r="H43" s="24">
        <f t="shared" si="7"/>
        <v>0</v>
      </c>
      <c r="I43" s="24">
        <f t="shared" si="9"/>
        <v>8.9557650000000203E-9</v>
      </c>
      <c r="J43" s="24">
        <f t="shared" si="9"/>
        <v>6.8448248150228318E-6</v>
      </c>
      <c r="K43" s="24">
        <f t="shared" si="9"/>
        <v>2.2320553722666352E-4</v>
      </c>
      <c r="L43" s="24">
        <f t="shared" si="9"/>
        <v>2.0126429505011459E-3</v>
      </c>
      <c r="M43" s="24">
        <f t="shared" si="9"/>
        <v>9.0134793085825914E-3</v>
      </c>
    </row>
    <row r="44" spans="1:13" ht="15" customHeight="1">
      <c r="A44" s="2">
        <v>12</v>
      </c>
      <c r="B44" s="24">
        <f t="shared" si="3"/>
        <v>2.0836423488163132E-3</v>
      </c>
      <c r="C44" s="24">
        <f t="shared" si="4"/>
        <v>2.0836423488163258E-3</v>
      </c>
      <c r="D44" s="24">
        <f t="shared" si="5"/>
        <v>-1.2576745200831851E-17</v>
      </c>
      <c r="E44" s="10" t="str">
        <f t="shared" si="6"/>
        <v>OK</v>
      </c>
      <c r="G44" s="2">
        <v>12</v>
      </c>
      <c r="H44" s="24">
        <f t="shared" si="7"/>
        <v>0</v>
      </c>
      <c r="I44" s="24">
        <f t="shared" si="9"/>
        <v>3.3169500000000198E-10</v>
      </c>
      <c r="J44" s="24">
        <f t="shared" si="9"/>
        <v>5.351920637260653E-7</v>
      </c>
      <c r="K44" s="24">
        <f t="shared" si="9"/>
        <v>2.7658299308836676E-5</v>
      </c>
      <c r="L44" s="24">
        <f t="shared" si="9"/>
        <v>3.516475693122715E-4</v>
      </c>
      <c r="M44" s="24">
        <f t="shared" si="9"/>
        <v>2.0836423488163258E-3</v>
      </c>
    </row>
    <row r="45" spans="1:13" ht="15" customHeight="1">
      <c r="A45" s="2">
        <v>13</v>
      </c>
      <c r="B45" s="24">
        <f t="shared" si="3"/>
        <v>3.3346713808627088E-4</v>
      </c>
      <c r="C45" s="24">
        <f t="shared" si="4"/>
        <v>3.3346713808627272E-4</v>
      </c>
      <c r="D45" s="24">
        <f t="shared" si="5"/>
        <v>-1.8431436932253575E-18</v>
      </c>
      <c r="E45" s="10" t="str">
        <f t="shared" si="6"/>
        <v>OK</v>
      </c>
      <c r="G45" s="2">
        <v>13</v>
      </c>
      <c r="H45" s="24">
        <f t="shared" si="7"/>
        <v>0</v>
      </c>
      <c r="I45" s="24">
        <f t="shared" si="9"/>
        <v>8.5050000000000248E-12</v>
      </c>
      <c r="J45" s="24">
        <f t="shared" si="9"/>
        <v>2.8970510572066234E-8</v>
      </c>
      <c r="K45" s="24">
        <f t="shared" si="9"/>
        <v>2.372712602942305E-6</v>
      </c>
      <c r="L45" s="24">
        <f t="shared" si="9"/>
        <v>4.2535119794059369E-5</v>
      </c>
      <c r="M45" s="24">
        <f t="shared" si="9"/>
        <v>3.3346713808627272E-4</v>
      </c>
    </row>
    <row r="46" spans="1:13" ht="15" customHeight="1">
      <c r="A46" s="2">
        <v>14</v>
      </c>
      <c r="B46" s="24">
        <f t="shared" si="3"/>
        <v>3.3037484055060414E-5</v>
      </c>
      <c r="C46" s="24">
        <f t="shared" si="4"/>
        <v>3.3037484055060705E-5</v>
      </c>
      <c r="D46" s="24">
        <f t="shared" si="5"/>
        <v>-2.9137933385547932E-19</v>
      </c>
      <c r="E46" s="10" t="str">
        <f t="shared" si="6"/>
        <v>OK</v>
      </c>
      <c r="G46" s="2">
        <v>14</v>
      </c>
      <c r="H46" s="24">
        <f t="shared" si="7"/>
        <v>0</v>
      </c>
      <c r="I46" s="24">
        <f t="shared" si="9"/>
        <v>1.3500000000000046E-13</v>
      </c>
      <c r="J46" s="24">
        <f t="shared" si="9"/>
        <v>9.7079312322620473E-10</v>
      </c>
      <c r="K46" s="24">
        <f t="shared" si="9"/>
        <v>1.2600531361892316E-7</v>
      </c>
      <c r="L46" s="24">
        <f t="shared" si="9"/>
        <v>3.185017026406476E-6</v>
      </c>
      <c r="M46" s="24">
        <f t="shared" si="9"/>
        <v>3.3037484055060705E-5</v>
      </c>
    </row>
    <row r="47" spans="1:13" ht="15" customHeight="1">
      <c r="A47" s="2">
        <v>15</v>
      </c>
      <c r="B47" s="24">
        <f t="shared" si="3"/>
        <v>1.5274523526097305E-6</v>
      </c>
      <c r="C47" s="24">
        <f t="shared" si="4"/>
        <v>1.5274523526097436E-6</v>
      </c>
      <c r="D47" s="24">
        <f t="shared" si="5"/>
        <v>-1.3129010682441655E-20</v>
      </c>
      <c r="E47" s="10" t="str">
        <f t="shared" si="6"/>
        <v>OK</v>
      </c>
      <c r="G47" s="2">
        <v>15</v>
      </c>
      <c r="H47" s="24">
        <f t="shared" si="7"/>
        <v>0</v>
      </c>
      <c r="I47" s="24">
        <f t="shared" si="9"/>
        <v>1.0000000000000013E-15</v>
      </c>
      <c r="J47" s="24">
        <f t="shared" si="9"/>
        <v>1.5181127029874824E-11</v>
      </c>
      <c r="K47" s="24">
        <f t="shared" si="9"/>
        <v>3.1227654312508626E-9</v>
      </c>
      <c r="L47" s="24">
        <f t="shared" si="9"/>
        <v>1.1129678965413679E-7</v>
      </c>
      <c r="M47" s="24">
        <f t="shared" si="9"/>
        <v>1.5274523526097436E-6</v>
      </c>
    </row>
  </sheetData>
  <mergeCells count="5">
    <mergeCell ref="A30:E30"/>
    <mergeCell ref="A1:W1"/>
    <mergeCell ref="A10:E10"/>
    <mergeCell ref="G30:M30"/>
    <mergeCell ref="G10:W10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workbookViewId="0"/>
  </sheetViews>
  <sheetFormatPr defaultRowHeight="14.25"/>
  <cols>
    <col min="1" max="1" width="22" style="18" customWidth="1"/>
    <col min="2" max="2" width="95" style="18" customWidth="1"/>
  </cols>
  <sheetData>
    <row r="1" spans="1:2" ht="16.7" customHeight="1">
      <c r="A1" s="30" t="s">
        <v>90</v>
      </c>
      <c r="B1" s="29"/>
    </row>
    <row r="3" spans="1:2" ht="15" customHeight="1">
      <c r="A3" s="7" t="s">
        <v>16</v>
      </c>
      <c r="B3" s="11" t="s">
        <v>91</v>
      </c>
    </row>
    <row r="4" spans="1:2" ht="15" customHeight="1">
      <c r="A4" s="7" t="s">
        <v>92</v>
      </c>
      <c r="B4" s="11" t="s">
        <v>93</v>
      </c>
    </row>
    <row r="5" spans="1:2" ht="15" customHeight="1">
      <c r="A5" s="7" t="s">
        <v>94</v>
      </c>
      <c r="B5" s="11" t="s">
        <v>95</v>
      </c>
    </row>
    <row r="6" spans="1:2" ht="15" customHeight="1">
      <c r="A6" s="7" t="s">
        <v>96</v>
      </c>
      <c r="B6" s="11" t="s">
        <v>97</v>
      </c>
    </row>
    <row r="7" spans="1:2" ht="15" customHeight="1">
      <c r="A7" s="7" t="s">
        <v>98</v>
      </c>
      <c r="B7" s="11" t="s">
        <v>99</v>
      </c>
    </row>
    <row r="8" spans="1:2" ht="15" customHeight="1">
      <c r="A8" s="7" t="s">
        <v>100</v>
      </c>
      <c r="B8" s="11" t="s">
        <v>110</v>
      </c>
    </row>
    <row r="9" spans="1:2" ht="15" customHeight="1">
      <c r="A9" s="7" t="s">
        <v>26</v>
      </c>
      <c r="B9" s="11" t="s">
        <v>101</v>
      </c>
    </row>
    <row r="10" spans="1:2" ht="15" customHeight="1">
      <c r="A10" s="7" t="s">
        <v>102</v>
      </c>
      <c r="B10" s="11" t="s">
        <v>103</v>
      </c>
    </row>
    <row r="11" spans="1:2" ht="15" customHeight="1">
      <c r="A11" s="7" t="s">
        <v>104</v>
      </c>
      <c r="B11" s="11" t="s">
        <v>105</v>
      </c>
    </row>
    <row r="12" spans="1:2" ht="15" customHeight="1">
      <c r="A12" s="7" t="s">
        <v>106</v>
      </c>
      <c r="B12" s="11" t="s">
        <v>107</v>
      </c>
    </row>
  </sheetData>
  <mergeCells count="1">
    <mergeCell ref="A1:B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Inputs</vt:lpstr>
      <vt:lpstr>Single Round</vt:lpstr>
      <vt:lpstr>Level Prob</vt:lpstr>
      <vt:lpstr>Multi Round B1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黃天宇</cp:lastModifiedBy>
  <dcterms:created xsi:type="dcterms:W3CDTF">2026-07-21T16:59:34Z</dcterms:created>
  <dcterms:modified xsi:type="dcterms:W3CDTF">2026-07-21T17:09:22Z</dcterms:modified>
</cp:coreProperties>
</file>